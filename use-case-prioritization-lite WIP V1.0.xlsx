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spmj\Downloads\"/>
    </mc:Choice>
  </mc:AlternateContent>
  <xr:revisionPtr revIDLastSave="0" documentId="13_ncr:1_{7DF2A71F-9A7B-45E3-8105-F99CEAC9FB99}" xr6:coauthVersionLast="47" xr6:coauthVersionMax="47" xr10:uidLastSave="{00000000-0000-0000-0000-000000000000}"/>
  <bookViews>
    <workbookView xWindow="-108" yWindow="-108" windowWidth="23256" windowHeight="13896" tabRatio="680" activeTab="6" xr2:uid="{00000000-000D-0000-FFFF-FFFF00000000}"/>
  </bookViews>
  <sheets>
    <sheet name="How to Use" sheetId="1" r:id="rId1"/>
    <sheet name="Discovery" sheetId="2" r:id="rId2"/>
    <sheet name="Scoring" sheetId="3" r:id="rId3"/>
    <sheet name="Risk Assessment" sheetId="4" r:id="rId4"/>
    <sheet name="Prioritization Matrix" sheetId="5" r:id="rId5"/>
    <sheet name="Ref" sheetId="6" state="hidden" r:id="rId6"/>
    <sheet name="Selection Brief" sheetId="7" r:id="rId7"/>
    <sheet name="Sheet1" sheetId="8" r:id="rId8"/>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7" l="1"/>
  <c r="C19" i="7"/>
  <c r="C16" i="7"/>
  <c r="E24" i="5"/>
  <c r="C24" i="5"/>
  <c r="C21" i="5"/>
  <c r="C20" i="5"/>
  <c r="I19" i="4"/>
  <c r="I20" i="4" s="1"/>
  <c r="H19" i="4"/>
  <c r="H21" i="4" s="1"/>
  <c r="G19" i="4"/>
  <c r="G20" i="4" s="1"/>
  <c r="F19" i="4"/>
  <c r="F20" i="4" s="1"/>
  <c r="E19" i="4"/>
  <c r="E21" i="4" s="1"/>
  <c r="N26" i="3"/>
  <c r="E27" i="5" s="1"/>
  <c r="M26" i="3"/>
  <c r="E26" i="5" s="1"/>
  <c r="L26" i="3"/>
  <c r="E25" i="5" s="1"/>
  <c r="K26" i="3"/>
  <c r="J26" i="3"/>
  <c r="E23" i="5" s="1"/>
  <c r="I26" i="3"/>
  <c r="E22" i="5" s="1"/>
  <c r="H26" i="3"/>
  <c r="E21" i="5" s="1"/>
  <c r="G26" i="3"/>
  <c r="E20" i="5" s="1"/>
  <c r="F26" i="3"/>
  <c r="E26" i="3"/>
  <c r="E18" i="5" s="1"/>
  <c r="N17" i="3"/>
  <c r="D27" i="5" s="1"/>
  <c r="M17" i="3"/>
  <c r="D26" i="5" s="1"/>
  <c r="L17" i="3"/>
  <c r="D25" i="5" s="1"/>
  <c r="K17" i="3"/>
  <c r="K30" i="3" s="1"/>
  <c r="K32" i="3" s="1"/>
  <c r="J17" i="3"/>
  <c r="I17" i="3"/>
  <c r="D22" i="5" s="1"/>
  <c r="H17" i="3"/>
  <c r="G17" i="3"/>
  <c r="F17" i="3"/>
  <c r="D19" i="5" s="1"/>
  <c r="E17" i="3"/>
  <c r="D18" i="5" s="1"/>
  <c r="N9" i="3"/>
  <c r="C27" i="5" s="1"/>
  <c r="M9" i="3"/>
  <c r="C26" i="5" s="1"/>
  <c r="L9" i="3"/>
  <c r="K9" i="3"/>
  <c r="C23" i="5"/>
  <c r="C19" i="5"/>
  <c r="C18" i="5"/>
  <c r="C20" i="7" l="1"/>
  <c r="C35" i="7" s="1"/>
  <c r="C37" i="7" s="1"/>
  <c r="C40" i="7" s="1"/>
  <c r="C41" i="7" s="1"/>
  <c r="E20" i="4"/>
  <c r="F21" i="4"/>
  <c r="G21" i="4"/>
  <c r="J30" i="3"/>
  <c r="J32" i="3" s="1"/>
  <c r="H30" i="3"/>
  <c r="F21" i="5" s="1"/>
  <c r="G30" i="3"/>
  <c r="F20" i="5" s="1"/>
  <c r="D24" i="5"/>
  <c r="N30" i="3"/>
  <c r="N32" i="3" s="1"/>
  <c r="D23" i="5"/>
  <c r="F30" i="3"/>
  <c r="F19" i="5" s="1"/>
  <c r="L30" i="3"/>
  <c r="F25" i="5" s="1"/>
  <c r="F23" i="5"/>
  <c r="J25" i="5"/>
  <c r="K25" i="5" s="1"/>
  <c r="I25" i="5"/>
  <c r="G32" i="3"/>
  <c r="D20" i="5"/>
  <c r="B24" i="5"/>
  <c r="L31" i="3"/>
  <c r="D21" i="5"/>
  <c r="F24" i="5"/>
  <c r="E19" i="5"/>
  <c r="I21" i="4"/>
  <c r="C25" i="5"/>
  <c r="H20" i="4"/>
  <c r="C22" i="5"/>
  <c r="E30" i="3"/>
  <c r="M30" i="3"/>
  <c r="K31" i="3"/>
  <c r="L32" i="3"/>
  <c r="I30" i="3"/>
  <c r="C42" i="7" l="1"/>
  <c r="C59" i="7" s="1"/>
  <c r="H32" i="3"/>
  <c r="F32" i="3"/>
  <c r="N31" i="3"/>
  <c r="F31" i="3"/>
  <c r="B19" i="5" s="1"/>
  <c r="F27" i="5"/>
  <c r="J27" i="5" s="1"/>
  <c r="K27" i="5" s="1"/>
  <c r="B27" i="5"/>
  <c r="J31" i="3"/>
  <c r="B23" i="5" s="1"/>
  <c r="H31" i="3"/>
  <c r="B21" i="5" s="1"/>
  <c r="G31" i="3"/>
  <c r="B20" i="5" s="1"/>
  <c r="B25" i="5"/>
  <c r="M32" i="3"/>
  <c r="M31" i="3"/>
  <c r="B26" i="5"/>
  <c r="F26" i="5"/>
  <c r="I24" i="5"/>
  <c r="J24" i="5"/>
  <c r="K24" i="5" s="1"/>
  <c r="E32" i="3"/>
  <c r="E31" i="3"/>
  <c r="B18" i="5" s="1"/>
  <c r="F18" i="5"/>
  <c r="F22" i="5"/>
  <c r="I31" i="3"/>
  <c r="B22" i="5" s="1"/>
  <c r="I32" i="3"/>
  <c r="I27" i="5" l="1"/>
  <c r="I9" i="4"/>
  <c r="G9" i="4"/>
  <c r="H9" i="4"/>
  <c r="F9" i="4"/>
  <c r="E9" i="4"/>
  <c r="I26" i="5"/>
  <c r="J26" i="5"/>
  <c r="K26" i="5" s="1"/>
  <c r="G27" i="5" l="1"/>
  <c r="H26" i="5"/>
  <c r="H18" i="5"/>
  <c r="G26" i="5"/>
  <c r="H21" i="5"/>
  <c r="H25" i="5"/>
  <c r="G19" i="5"/>
  <c r="G18" i="5"/>
  <c r="H24" i="5"/>
  <c r="H20" i="5"/>
  <c r="H27" i="5"/>
  <c r="G24" i="5"/>
  <c r="G25" i="5"/>
  <c r="G22" i="5"/>
  <c r="G23" i="5"/>
  <c r="H23" i="5"/>
  <c r="G21" i="5"/>
  <c r="H22" i="5"/>
  <c r="G20" i="5"/>
  <c r="H19" i="5"/>
  <c r="J18" i="5" l="1"/>
  <c r="I18" i="5"/>
  <c r="J20" i="5"/>
  <c r="I20" i="5"/>
  <c r="I21" i="5"/>
  <c r="J21" i="5"/>
  <c r="J19" i="5"/>
  <c r="I19" i="5"/>
  <c r="J23" i="5"/>
  <c r="I23" i="5"/>
  <c r="I22" i="5"/>
  <c r="J22" i="5"/>
  <c r="K22" i="5" l="1"/>
  <c r="K20" i="5"/>
  <c r="K21" i="5"/>
  <c r="K18" i="5"/>
  <c r="K19" i="5"/>
  <c r="K23" i="5"/>
  <c r="C58" i="7" l="1"/>
  <c r="C54" i="7" l="1"/>
  <c r="C57" i="7"/>
  <c r="C27" i="7"/>
  <c r="C53" i="7"/>
  <c r="C55" i="7"/>
  <c r="C56" i="7"/>
</calcChain>
</file>

<file path=xl/sharedStrings.xml><?xml version="1.0" encoding="utf-8"?>
<sst xmlns="http://schemas.openxmlformats.org/spreadsheetml/2006/main" count="847" uniqueCount="666">
  <si>
    <t>Step 1: Use Case Discovery</t>
  </si>
  <si>
    <t>Identify problems that specifically need an AI agent — not just any automation.</t>
  </si>
  <si>
    <t>Each prompt targets a pattern where the Sense → Think → Plan → Act loop outperforms traditional tools.</t>
  </si>
  <si>
    <t>How to use this tab:</t>
  </si>
  <si>
    <t>10 Agent-Specific Opportunity Patterns</t>
  </si>
  <si>
    <t>P1</t>
  </si>
  <si>
    <t>Judgment-Heavy Triage</t>
  </si>
  <si>
    <t>Do you or your team regularly review items — tickets, applications, requests, messages, leads — and make a judgment call on each one that can't be reduced to a simple rule?</t>
  </si>
  <si>
    <t>Your answer:</t>
  </si>
  <si>
    <t>Example:</t>
  </si>
  <si>
    <t>e.g., Support agents read each ticket, assess urgency and sentiment, and decide routing and priority. Or: loan officers review applications weighing 15+ factors that vary case by case.</t>
  </si>
  <si>
    <t>Why an agent:</t>
  </si>
  <si>
    <t>The decision logic is fuzzy and context-dependent. Every case is slightly different. Traditional rules engines break on ambiguity — an LLM reasons through edge cases the way a human would.</t>
  </si>
  <si>
    <t>Arsenal:</t>
  </si>
  <si>
    <t>Claude.ai or ChatGPT (reasoning) → Claude Code or Cursor (build) → MCP (connect to ticketing/CRM) → Skills (triage SOP) → LangSmith (monitor decisions)</t>
  </si>
  <si>
    <t>Blocks:</t>
  </si>
  <si>
    <t>LLM + Loop + Tools (MCP) + Skills + Guardrails</t>
  </si>
  <si>
    <t>What to look for:</t>
  </si>
  <si>
    <t>high volume (50+ items/day), decisions take 5+ minutes each, experienced staff disagree on ~15% of cases, or new hires take weeks to learn the judgment.</t>
  </si>
  <si>
    <t>Pattern match:</t>
  </si>
  <si>
    <t>✅  You have this pattern if:  (1) Decisions can't be reduced to if/then rules  (2) Volume is 50+ items/day  (3) Experienced staff disagree ~15% of the time  (4) New hires take weeks to learn the judgment</t>
  </si>
  <si>
    <t>P2</t>
  </si>
  <si>
    <t>Multi-Source Research &amp; Synthesis</t>
  </si>
  <si>
    <t>Do you regularly pull information from 3 or more different sources, piece it together, and produce a summary, analysis, or recommendation?</t>
  </si>
  <si>
    <t>e.g., Analysts pull from CRM, market data, news, and internal docs to build a weekly executive brief. Or: due diligence teams compile findings from 10+ sources into a structured assessment.</t>
  </si>
  <si>
    <t>Simple aggregation tools just collect data. An agent reasons across unstructured sources — comparing, weighing contradictions, and producing original analysis. RAG + reasoning is what makes this agentic.</t>
  </si>
  <si>
    <t>Perplexity (web research) → Claude.ai (synthesis) → MCP (connect to CRM, Drive, Slack) → Cursor or Claude Code (build) → Workato or n8n (schedule recurring runs)</t>
  </si>
  <si>
    <t>LLM + Loop + Tools (MCP) + Context + Memory</t>
  </si>
  <si>
    <t>the research takes 2+ hours, spans 3+ systems, the output is a narrative (not just numbers), and the same person does it weekly.</t>
  </si>
  <si>
    <t>✅  You have this pattern if:  (1) Research spans 3+ different sources/systems  (2) Output is a narrative, not just a data dump  (3) Research takes 2+ hours per report  (4) Synthesis requires weighing conflicting information</t>
  </si>
  <si>
    <t>P3</t>
  </si>
  <si>
    <t>Unstructured-to-Structured Transformation</t>
  </si>
  <si>
    <t>Do you deal with messy, inconsistent inputs — emails, PDFs, invoices, forms, varied documents — that need to be turned into structured data or action?</t>
  </si>
  <si>
    <t>e.g., Accounts payable reads invoices in 50 different formats and enters vendor/amount/date into the ERP. Or: HR reads resumes in varied layouts and extracts skills and experience into a database.</t>
  </si>
  <si>
    <t>Traditional parsers and OCR break on format variation. An LLM handles any layout, any wording, and still extracts the right fields. The agent loop self-corrects when extraction confidence is low.</t>
  </si>
  <si>
    <t>Claude.ai (multimodal — reads PDFs/images) → Claude Code (build extraction pipeline) → MCP (connect to ERP/database) → LangGraph (multi-step validation) → Skills (extraction rules per doc type)</t>
  </si>
  <si>
    <t>LLM (multimodal) + Loop + Tools (MCP) + Skills</t>
  </si>
  <si>
    <t>input formats vary significantly, volume is 20+/day, current error rate exceeds 5%, or you've tried OCR/parser solutions and they failed on edge cases.</t>
  </si>
  <si>
    <t>✅  You have this pattern if:  (1) No two inputs look the same (varied formats)  (2) Volume is 20+ items/day  (3) Current process has 5%+ error rate  (4) Traditional parsers/OCR break on the format variation</t>
  </si>
  <si>
    <t>P4</t>
  </si>
  <si>
    <t>Context-Aware Communication</t>
  </si>
  <si>
    <t>Do you write personalized messages, proposals, or documents where each one needs to reflect the recipient's specific history, context, and preferences?</t>
  </si>
  <si>
    <t>e.g., Account managers write renewal proposals tailored to each client's usage and contract terms. Or: support writes follow-ups referencing the customer's full issue history and tone preferences.</t>
  </si>
  <si>
    <t>Template-based mail merge can't adapt to context. The agent pulls history from CRM/email, reasons about what matters for this person, and generates output that feels human — not formulaic. Memory and context are the key differentiators.</t>
  </si>
  <si>
    <t>Claude.ai (drafting) → MCP (CRM, email, calendar, past interactions) → Claude Code or Cursor (build) → Memory (past communications) → Context files (tone, brand voice, templates)</t>
  </si>
  <si>
    <t>LLM + Context + Memory + Tools (MCP) + Skills</t>
  </si>
  <si>
    <t>personalization takes 15+ minutes per message, there are 10+ messages/day, the quality varies by writer, or you've tried templates and recipients notice they're generic.</t>
  </si>
  <si>
    <t>✅  You have this pattern if:  (1) Personalization takes 15+ min per message  (2) Volume is 10+ messages/day  (3) Quality drops when you rush  (4) Each message needs to reflect recipient's specific history and context</t>
  </si>
  <si>
    <t>P5</t>
  </si>
  <si>
    <t>Multi-Step Workflow Orchestration</t>
  </si>
  <si>
    <t>Is there a process that requires multiple steps across different tools — where the right next step depends on what happened in the previous step?</t>
  </si>
  <si>
    <t>e.g., Employee onboarding: create accounts → assign permissions → schedule orientation → generate welcome packet → notify manager — each step conditional on role, department, and location. Or: incident response: detect → classify → notify → create ticket → gather logs → draft RCA.</t>
  </si>
  <si>
    <t>Simple automation (Zapier/Make) handles linear A→B→C. But when step 4 depends on the outcome of step 2, when branches are conditional, and when the agent needs to reason about which path to take — that's an agent loop, not a workflow trigger.</t>
  </si>
  <si>
    <t>LangGraph (state machine orchestration) or CrewAI (multi-agent) → MCP (connect all systems) → Claude Code (build) → Workato or n8n (triggers) → LangSmith (trace execution)</t>
  </si>
  <si>
    <t>the process has 5+ steps, involves 3+ tools, has conditional branches, currently requires a coordinator to manage, or breaks down when the coordinator is absent.</t>
  </si>
  <si>
    <t>✅  You have this pattern if:  (1) Process has 5+ steps across 3+ tools  (2) Next step depends on previous step's outcome  (3) Failures require re-planning, not just retrying  (4) Needs a coordinator, not just a trigger</t>
  </si>
  <si>
    <t>P6</t>
  </si>
  <si>
    <t>Continuous Monitoring &amp; Proactive Alerting</t>
  </si>
  <si>
    <t>Is there something you or your team should be watching continuously — competitor moves, customer signals, market changes, system health — but nobody has the bandwidth?</t>
  </si>
  <si>
    <t>e.g., Monitoring competitor pricing across 20+ sources. Or: watching customer health metrics for early churn signals. Or: detecting configuration drift across cloud environments before it becomes a compliance finding.</t>
  </si>
  <si>
    <t>Threshold-based alerts miss patterns that require interpretation. The agent observes data streams, recognizes meaningful patterns vs noise, and uses judgment about what's worth escalating. The loop runs continuously, not just when triggered.</t>
  </si>
  <si>
    <t>Claude.ai or Perplexity (monitoring) → MCP (data sources, Slack, email for alerts) → n8n or Workato (scheduling) → OpenClaw (autonomous local agent) → Memory (track what's been seen) → LangSmith (reliability)</t>
  </si>
  <si>
    <t>LLM + Loop + Tools (MCP) + Memory + Context</t>
  </si>
  <si>
    <t>the monitoring is important but nobody does it consistently, you've missed things that cost money, or current alerts produce too many false positives that people ignore.</t>
  </si>
  <si>
    <t>✅  You have this pattern if:  (1) Monitoring is important but nobody does it consistently  (2) You've missed something costly in last 6 months  (3) Threshold alerts miss patterns requiring interpretation  (4) Signals from multiple streams need synthesis</t>
  </si>
  <si>
    <t>P7</t>
  </si>
  <si>
    <t>Knowledge-Intensive Q&amp;A</t>
  </si>
  <si>
    <t>Do the same kinds of questions keep coming up — and the answers require searching across scattered documents, policies, records, or knowledge bases?</t>
  </si>
  <si>
    <t>e.g., New hires ask HR the same 50 questions about benefits and PTO — answers spread across 15 documents. Or: field technicians call support to ask about repair procedures buried in manuals.</t>
  </si>
  <si>
    <t>A static FAQ can't handle question variations or combine information from multiple sources. An agent with RAG searches your documents, reasons about which parts are relevant, synthesizes an answer with citations, and handles follow-ups using memory.</t>
  </si>
  <si>
    <t>Claude.ai (reasoning + long context) → RAG pipeline (Pinecone, Weaviate, or pgvector) → MCP (Confluence, SharePoint, Drive) → Lovable or Bolt.new (chat UI) → Context + Memory</t>
  </si>
  <si>
    <t>LLM + Tools (MCP + RAG) + Context + Memory</t>
  </si>
  <si>
    <t>the same questions come up 10+/week, answers exist but are hard to find, experts are interrupted frequently, or new hires take weeks to become self-sufficient.</t>
  </si>
  <si>
    <t>✅  You have this pattern if:  (1) Same questions come up 10+/week  (2) Answers scattered across 5+ sources  (3) Experts spend 20%+ time on repeat questions  (4) Question variations stump a static FAQ</t>
  </si>
  <si>
    <t>P8</t>
  </si>
  <si>
    <t>Repeated Analysis with Varying Inputs</t>
  </si>
  <si>
    <t>Do you run the same analytical process repeatedly — same framework, same criteria — but each time the input data is different and requires interpretation?</t>
  </si>
  <si>
    <t>e.g., Financial analysts review each client's quarterly performance using the same rubric but different data. Or: QA evaluates each build against the same criteria but different test results. Or: recruiters screen candidates using the same scorecard but vastly different resumes.</t>
  </si>
  <si>
    <t>The process is consistent (perfect for Skills), but inputs vary in format and content (requires LLM reasoning). A spreadsheet macro can't interpret a narrative performance review. An agent with a Skill applies the same framework using judgment, not just formulas.</t>
  </si>
  <si>
    <t>Claude.ai (analysis) → Skills (encode the analytical framework) → Claude Code (build) → MCP (data sources) → Cursor (iterate on the Skill) → LangSmith (verify consistency)</t>
  </si>
  <si>
    <t>LLM + Skills + Loop + Tools (MCP) + Context</t>
  </si>
  <si>
    <t>the analysis takes 30+ minutes per case, the process is documented but hard to follow consistently, output quality varies by analyst, or you do this 5+ times per week.</t>
  </si>
  <si>
    <t>✅  You have this pattern if:  (1) Same framework/criteria applied to different data  (2) Each analysis takes 30+ min  (3) Process documented but followed inconsistently  (4) Humans get fatigued and skip steps on case #10</t>
  </si>
  <si>
    <t>P9</t>
  </si>
  <si>
    <t>Cross-System Handoff Coordination</t>
  </si>
  <si>
    <t>Does work lose context, quality, or momentum when it moves between people, teams, or systems?</t>
  </si>
  <si>
    <t>e.g., Customer escalations go support → engineering → product, but each handoff requires re-explaining the issue. Or: sales deals move SDR → AE → solutions → legal, with each person starting from scratch.</t>
  </si>
  <si>
    <t>The core problem is context loss at boundaries. An agent maintains the full context across every handoff, presents the right information to the right person, and orchestrates transitions via MCP. Memory preserves the thread; the Loop manages the workflow.</t>
  </si>
  <si>
    <t>LangGraph or CrewAI (orchestrate handoffs) → MCP (CRM, ticketing, Slack, email) → Memory (maintain context) → Claude Code (build) → A2A (cross-agent coordination) → Workato (trigger events)</t>
  </si>
  <si>
    <t>LLM + Loop + Memory + Tools (MCP + A2A) + Guardrails</t>
  </si>
  <si>
    <t>handoffs happen 10+/week, context re-explanation takes 15+ minutes each time, things fall through the cracks regularly, or resolution time doubles with each handoff.</t>
  </si>
  <si>
    <t>✅  You have this pattern if:  (1) Handoffs happen 10+/week  (2) Context re-explanation takes 15+ min per handoff  (3) Things fall through cracks at team/system boundaries  (4) Same info gets re-entered in multiple systems</t>
  </si>
  <si>
    <t>P10</t>
  </si>
  <si>
    <t>Evidence Collection &amp; Compliance Documentation</t>
  </si>
  <si>
    <t>Do you spend significant time manually collecting evidence, screenshots, logs, or documentation for compliance, audits, or reporting?</t>
  </si>
  <si>
    <t>e.g., SOC 2: 3 people spend 2 weeks pulling screenshots, access logs, and policy docs from 8 systems. Or: Medicaid renewals require gathering eligibility documents from multiple state and federal databases.</t>
  </si>
  <si>
    <t>Evidence collection requires multi-source retrieval (MCP across many systems) AND judgment about what constitutes valid evidence (LLM reasoning). The agent knows what's needed, retrieves it, validates completeness, and flags gaps — no simple automation can do both.</t>
  </si>
  <si>
    <t>Claude.ai (evidence reasoning) → MCP (cloud consoles, HR systems, repos, log stores) → Skills (compliance framework) → Claude Code (build) → Memory (track collected vs missing) → Guardrails (data handling)</t>
  </si>
  <si>
    <t>LLM + Loop + Tools (MCP) + Skills + Memory + Guardrails</t>
  </si>
  <si>
    <t>evidence collection takes days not hours, involves 5+ systems, is recurring (quarterly/annually), errors have real regulatory consequences, or you dread audit season.</t>
  </si>
  <si>
    <t>✅  You have this pattern if:  (1) Evidence collection takes days, not hours  (2) Involves 5+ systems  (3) Recurring audit cycle drains same people every time  (4) Missed evidence has caused audit findings</t>
  </si>
  <si>
    <t>Candidate Use Cases — Consolidate Your Discoveries</t>
  </si>
  <si>
    <t>How to fill this in:</t>
  </si>
  <si>
    <t>Review your answers above and pull out the strongest candidates. A good name is concrete: "Automate support ticket triage and initial response" beats "AI for customer service." Note which pattern (P1–P10) each comes from — this guides your tool selection later.</t>
  </si>
  <si>
    <t>#</t>
  </si>
  <si>
    <t>Use Case Name</t>
  </si>
  <si>
    <t>Problem Statement</t>
  </si>
  <si>
    <t>Pattern</t>
  </si>
  <si>
    <t>How to interpret:</t>
  </si>
  <si>
    <t>If multiple patterns point to the same broken process, that's a strong signal. P1 (Triage), P3 (Unstructured→Structured), and P7 (Knowledge Q&amp;A) tend to have the fastest path to prototype. P5 (Orchestration) and P9 (Handoff) tend to have the highest organizational impact but need more integration. Take your top 5–10 candidates to the Scoring tab.</t>
  </si>
  <si>
    <t>Pattern Mapping Examples — How Real-World Use Cases Map to the 10 Patterns</t>
  </si>
  <si>
    <t>Every agent-worthy use case maps to one or more of the 10 patterns above. The patterns describe the shape of the cognitive work — the domain is just where it lives. Use these 30 examples as inspiration when identifying your own candidates.</t>
  </si>
  <si>
    <t>Real-World Use Case</t>
  </si>
  <si>
    <t>Industry</t>
  </si>
  <si>
    <t>Why agent, not automation?</t>
  </si>
  <si>
    <t>P1 · Triage</t>
  </si>
  <si>
    <t>Support ticket routing &amp; priority</t>
  </si>
  <si>
    <t>SaaS</t>
  </si>
  <si>
    <t>Sentiment + urgency + account context vary per ticket</t>
  </si>
  <si>
    <t>Loan application pre-screening</t>
  </si>
  <si>
    <t>Financial Services</t>
  </si>
  <si>
    <t>15+ factors interact differently per applicant</t>
  </si>
  <si>
    <t>Resume screening for specialized roles</t>
  </si>
  <si>
    <t>HR / Recruiting</t>
  </si>
  <si>
    <t>Culture fit + skill nuance defy keyword matching</t>
  </si>
  <si>
    <t>P2 · Research</t>
  </si>
  <si>
    <t>Competitive intelligence briefing</t>
  </si>
  <si>
    <t>Strategy</t>
  </si>
  <si>
    <t>Synthesizes news, filings, launches into narrative</t>
  </si>
  <si>
    <t>Vendor / supplier evaluation</t>
  </si>
  <si>
    <t>Procurement</t>
  </si>
  <si>
    <t>Normalizes proposals against criteria from 5+ vendors</t>
  </si>
  <si>
    <t>Due diligence report for M&amp;A</t>
  </si>
  <si>
    <t>Finance / Legal</t>
  </si>
  <si>
    <t>Combines financials, legal filings, news, market data</t>
  </si>
  <si>
    <t>P3 · Unstructured</t>
  </si>
  <si>
    <t>Invoice processing (50+ formats)</t>
  </si>
  <si>
    <t>Accounts Payable</t>
  </si>
  <si>
    <t>No two invoices look alike — OCR + rules break</t>
  </si>
  <si>
    <t>Medical records intake &amp; coding</t>
  </si>
  <si>
    <t>Healthcare</t>
  </si>
  <si>
    <t>Handwritten notes, scans, varied EHR exports</t>
  </si>
  <si>
    <t>Email-to-CRM data entry</t>
  </si>
  <si>
    <t>Sales Ops</t>
  </si>
  <si>
    <t>Free-text emails → structured opportunity records</t>
  </si>
  <si>
    <t>P4 · Context Comms</t>
  </si>
  <si>
    <t>Personalized renewal proposals</t>
  </si>
  <si>
    <t>Account Mgmt</t>
  </si>
  <si>
    <t>Each reflects contract history, usage, relationship</t>
  </si>
  <si>
    <t>Patient follow-up messages</t>
  </si>
  <si>
    <t>Tone + content adapts to diagnosis and history</t>
  </si>
  <si>
    <t>Donor outreach for campaigns</t>
  </si>
  <si>
    <t>Nonprofit</t>
  </si>
  <si>
    <t>Reflects giving history, interests, past events</t>
  </si>
  <si>
    <t>P5 · Orchestration</t>
  </si>
  <si>
    <t>Order-to-Cash (O2C) cycle</t>
  </si>
  <si>
    <t>Finance / ERP</t>
  </si>
  <si>
    <t>4 loops: order → fulfillment → invoice → cash</t>
  </si>
  <si>
    <t>Employee onboarding (5+ systems)</t>
  </si>
  <si>
    <t>HR / IT</t>
  </si>
  <si>
    <t>Provision → permissions → train → verify → follow up</t>
  </si>
  <si>
    <t>Insurance claims processing</t>
  </si>
  <si>
    <t>Insurance</t>
  </si>
  <si>
    <t>Intake → validate → assess → approve → pay</t>
  </si>
  <si>
    <t>P6 · Monitoring</t>
  </si>
  <si>
    <t>Competitor pricing surveillance</t>
  </si>
  <si>
    <t>Retail</t>
  </si>
  <si>
    <t>Interprets patterns, not just threshold alerts</t>
  </si>
  <si>
    <t>Regulatory change tracking</t>
  </si>
  <si>
    <t>Compliance</t>
  </si>
  <si>
    <t>Identifies relevant changes, maps to affected policies</t>
  </si>
  <si>
    <t>Customer churn signal detection</t>
  </si>
  <si>
    <t>Synthesizes usage + tickets + billing into risk</t>
  </si>
  <si>
    <t>P7 · Knowledge Q&amp;A</t>
  </si>
  <si>
    <t>Internal IT helpdesk (500+ staff)</t>
  </si>
  <si>
    <t>IT Support</t>
  </si>
  <si>
    <t>Same Qs weekly, answers across 5+ systems</t>
  </si>
  <si>
    <t>Benefits &amp; policy questions</t>
  </si>
  <si>
    <t>HR</t>
  </si>
  <si>
    <t>50+ variations of 20 core topics — FAQ can't flex</t>
  </si>
  <si>
    <t>Complex product FAQ</t>
  </si>
  <si>
    <t>Product / Eng</t>
  </si>
  <si>
    <t>Config options, compatibility, edge cases vary</t>
  </si>
  <si>
    <t>P8 · Analysis</t>
  </si>
  <si>
    <t>Quarterly client performance reviews</t>
  </si>
  <si>
    <t>Financial Advisory</t>
  </si>
  <si>
    <t>Same framework, 50+ clients, 30 min each</t>
  </si>
  <si>
    <t>Code review with consistent standards</t>
  </si>
  <si>
    <t>Engineering</t>
  </si>
  <si>
    <t>Same checklist per PR — fatigue on review #15</t>
  </si>
  <si>
    <t>Property appraisal comparisons</t>
  </si>
  <si>
    <t>Real Estate</t>
  </si>
  <si>
    <t>Same valuation method, different properties</t>
  </si>
  <si>
    <t>P9 · Handoff</t>
  </si>
  <si>
    <t>Escalation: support → eng → product</t>
  </si>
  <si>
    <t>Context lost at every boundary, customer re-explains</t>
  </si>
  <si>
    <t>Patient referral between providers</t>
  </si>
  <si>
    <t>History + results must transfer intact across systems</t>
  </si>
  <si>
    <t>Cross-team incident response</t>
  </si>
  <si>
    <t>DevOps / SRE</t>
  </si>
  <si>
    <t>Alert → triage → fix → postmortem crosses 3+ teams</t>
  </si>
  <si>
    <t>P10 · Compliance</t>
  </si>
  <si>
    <t>SOC 2 audit evidence collection</t>
  </si>
  <si>
    <t>InfoSec</t>
  </si>
  <si>
    <t>2 weeks pulling from 10+ systems every cycle</t>
  </si>
  <si>
    <t>HIPAA compliance documentation</t>
  </si>
  <si>
    <t>Access logs, training, policy acks across 8+ systems</t>
  </si>
  <si>
    <t>Construction permit assembly</t>
  </si>
  <si>
    <t>Government</t>
  </si>
  <si>
    <t>Plans, inspections, approvals from city/state/fed</t>
  </si>
  <si>
    <t>Every use case above maps to one of the 10 core patterns. The patterns describe the shape of the cognitive work, not the domain. If your use case doesn't clearly fit any pattern, ask: does it actually need an agent? Or is it automation, a script, or a better spreadsheet?</t>
  </si>
  <si>
    <t>AI Agent Use Case Discovery &amp; Prioritization Workbook</t>
  </si>
  <si>
    <t>From The Agentic Enterprise Strategy — agenticstrategylab.com</t>
  </si>
  <si>
    <t>What This Workbook Does</t>
  </si>
  <si>
    <t>This workbook takes you from "AI could probably help somewhere" to a specific, justified decision. It works for a founder choosing their first AI feature, a product team evaluating their next initiative, an architect assessing feasibility, or a hackathon team picking a project worth the effort.</t>
  </si>
  <si>
    <t>The Five Tabs — One Decision Journey</t>
  </si>
  <si>
    <t>1. Discovery</t>
  </si>
  <si>
    <t>Surface real problems using 10 agent-specific prompts. Each targets a pattern where the Sense→Think→Plan→Act loop outperforms traditional automation.</t>
  </si>
  <si>
    <t>2. Scoring</t>
  </si>
  <si>
    <t>Evaluate candidates across 10 weighted dimensions (5 feasibility + 5 impact). Descriptive dropdowns guide each score. Auto-calculates composites and ranks.</t>
  </si>
  <si>
    <t>3. Risk Assessment</t>
  </si>
  <si>
    <t>Assess your top candidates across 7 risk dimensions — including 3 agent-specific risks (hallucination, integration fragility, context drift). Maps to autonomy level.</t>
  </si>
  <si>
    <t>4. Prioritization Matrix</t>
  </si>
  <si>
    <t>Auto-generated ranked table. Combines feasibility, impact, risk, and recommendation. Nothing to fill in — all formulas.</t>
  </si>
  <si>
    <t>5. Selection Brief</t>
  </si>
  <si>
    <t>Structured one-page decision document for your winning use case: problem, agent approach, ROI estimate, and GO/NO-GO decision.</t>
  </si>
  <si>
    <t>How Scoring Works</t>
  </si>
  <si>
    <t>Three scoring areas, two directions. For Feasibility and Impact, higher is better — push numbers up. For Risk, lower is better — push numbers down. The composite score (50% Feasibility + 50% Impact) drives the recommendation. Risk is assessed separately and determines the autonomy level.</t>
  </si>
  <si>
    <t>FEASIBILITY</t>
  </si>
  <si>
    <t>IMPACT</t>
  </si>
  <si>
    <t>RISK</t>
  </si>
  <si>
    <t>⬆ Higher = Better
5 = easy to build
1 = hard to build</t>
  </si>
  <si>
    <t>⬆ Higher = Better
5 = transformative value
1 = minimal value</t>
  </si>
  <si>
    <t>⬇ Lower = Better
1 = minimal risk
5 = severe risk</t>
  </si>
  <si>
    <t>Recommendations:</t>
  </si>
  <si>
    <t>Score 4.0+ = ✅ Pursue  |  3.0–3.9 = 🔍 Investigate  |  2.0–2.9 = ⏸️ Park  |  Below 2.0 = ❌ Drop</t>
  </si>
  <si>
    <t>Scoring Dimensions Reference</t>
  </si>
  <si>
    <t>Dimension</t>
  </si>
  <si>
    <t>What It Measures</t>
  </si>
  <si>
    <t>⬆ Score 1 → Score 5</t>
  </si>
  <si>
    <t>F1: Strategic Alignment
(25%)</t>
  </si>
  <si>
    <t>Does this map to a real business goal or KPI? Score based on how directly this supports a stated organizational priority.</t>
  </si>
  <si>
    <t>1 = Nice to have, no sponsor
2 = Loosely connected to a goal
3 = Supports a known business goal
4 = Directly tied to a priority
5 = Top-3 strategic initiative</t>
  </si>
  <si>
    <t>F2: Data Readiness
(20%)</t>
  </si>
  <si>
    <t>Do the data sources, APIs, and integrations the agent needs exist today?</t>
  </si>
  <si>
    <t>1 = Data doesn't exist yet
2 = Exists but needs major cleanup
3 = Some integration work needed
4 = Accessible, APIs mostly ready
5 = Clean, APIs ready, tested</t>
  </si>
  <si>
    <t>F3: Technical Feasibility
(25%)</t>
  </si>
  <si>
    <t>Can you build this with available tools? Consider: do MCP servers exist? Can LLMs handle the reasoning? Is the task well-scoped for an agent loop?</t>
  </si>
  <si>
    <t>1 = Requires capabilities that don't exist
2 = Significant custom R&amp;D needed
3 = Buildable with new tools or skills
4 = Buildable with current tools
5 = Could prototype in 1–2 weeks</t>
  </si>
  <si>
    <t>F4: Autonomy Fit
(15%)</t>
  </si>
  <si>
    <t>Is the right level of agent independence achievable AND safe? Match the autonomy level to the risk.</t>
  </si>
  <si>
    <t>1 = Needs autonomy but risk is severe
2 = Autonomy/risk mismatch, hard to govern
3 = Moderate autonomy, manageable oversight
4 = Good fit with clear guardrails
5 = Low-risk task, full autonomy is safe</t>
  </si>
  <si>
    <t>F5: Time to Value
(15%)</t>
  </si>
  <si>
    <t>How quickly will this deliver real value — actual time saved, errors reduced, or revenue generated? Not a demo — real value.</t>
  </si>
  <si>
    <t>1 = 6+ months before anyone sees value
2 = 3–6 months to real value
3 = 1–3 months to real value
4 = Weeks to first real value
5 = Value realized within days</t>
  </si>
  <si>
    <t>I1: Time Saved
(25%)</t>
  </si>
  <si>
    <t>How many person-hours per week does this eliminate or significantly reduce across all affected people?</t>
  </si>
  <si>
    <t>1 = Under 2 hrs/week saved
2 = 2–5 hrs/week saved
3 = 5–15 hrs/week saved
4 = 15–30 hrs/week saved
5 = 30+ hrs/week saved</t>
  </si>
  <si>
    <t>I2: Cost Reduction
(20%)</t>
  </si>
  <si>
    <t>What's the direct cost saving — labor, errors, rework, penalties? Think annual impact.</t>
  </si>
  <si>
    <t>1 = Negligible savings
2 = Under $25K/year
3 = $25K–$75K/year
4 = $75K–$200K/year
5 = Over $200K/year</t>
  </si>
  <si>
    <t>I3: Error Reduction
(20%)</t>
  </si>
  <si>
    <t>How much does this reduce mistakes and their consequences? Consider both error rate and cost per error.</t>
  </si>
  <si>
    <t>1 = Errors rare and inconsequential
2 = Occasional errors, minor impact
3 = Regular errors, moderate cost
4 = Frequent errors, real consequences
5 = High error rate, severe consequences</t>
  </si>
  <si>
    <t>I4: Revenue Potential
(15%)</t>
  </si>
  <si>
    <t>Does this agent enable new revenue or accelerate existing revenue? Not every use case scores high here — cost savings alone can justify.</t>
  </si>
  <si>
    <t>1 = No revenue connection
2 = Indirect revenue support
3 = Enables faster revenue cycles
4 = Directly accelerates revenue
5 = Opens entirely new revenue streams</t>
  </si>
  <si>
    <t>I5: Scale Leverage
(20%)</t>
  </si>
  <si>
    <t>Does value increase with more users or volume without proportional cost? One-time build, many-time benefit.</t>
  </si>
  <si>
    <t>1 = Benefits one person only
2 = Benefits a small team (2–5)
3 = Benefits a department (10–50)
4 = Benefits across the organization
5 = Scales to 100+ users or processes</t>
  </si>
  <si>
    <t>⬇ Score 1 → Score 5</t>
  </si>
  <si>
    <t>R1: Failure Consequence</t>
  </si>
  <si>
    <t>What's the worst-case harm if the agent makes an unchecked wrong decision? This determines how much autonomy it should have.</t>
  </si>
  <si>
    <t>1 = Easily corrected, no real harm
2 = Minor inconvenience or rework
3 = Moderate cost or customer impact
4 = Significant financial or trust damage
5 = Legal, safety, or severe financial harm</t>
  </si>
  <si>
    <t>R2: Data Sensitivity</t>
  </si>
  <si>
    <t>Does this involve PII, financial records, health data, or trade secrets?</t>
  </si>
  <si>
    <t>1 = Public data only
2 = Internal, non-sensitive data
3 = Some personal or business-sensitive
4 = PII, financial, or health data
5 = Highly regulated or classified data</t>
  </si>
  <si>
    <t>R3: Regulatory Exposure</t>
  </si>
  <si>
    <t>Subject to HIPAA, GDPR, SOC 2, financial regulations, or industry compliance?</t>
  </si>
  <si>
    <t>1 = No regulatory requirements
2 = Light compliance (internal policies)
3 = Industry standards (SOC 2, ISO)
4 = Sector regulation (HIPAA, PCI)
5 = Heavy multi-regulation (GDPR+HIPAA)</t>
  </si>
  <si>
    <t>R4: Org Readiness</t>
  </si>
  <si>
    <t>Does the team have the skills, infrastructure, and willingness to adopt an AI agent for this?</t>
  </si>
  <si>
    <t>1 = Team is ready and eager
2 = Some skill gaps, willing to learn
3 = Moderate gaps in skills or infra
4 = Significant cultural or tech barriers
5 = Organization is not ready for this</t>
  </si>
  <si>
    <t>R5: Hallucination Risk</t>
  </si>
  <si>
    <t>How critical is factual accuracy? What happens when the agent is confidently wrong?</t>
  </si>
  <si>
    <t>1 = Outputs fully verifiable (code, math)
2 = Mostly verifiable with spot checks
3 = Some outputs hard to verify
4 = Many outputs need expert validation
5 = Errors indistinguishable from correct</t>
  </si>
  <si>
    <t>R6: MCP &amp; Integration
Fragility</t>
  </si>
  <si>
    <t>How many systems must the agent connect to? Each MCP integration is a potential failure point.</t>
  </si>
  <si>
    <t>1 = Single system, stable API
2 = 2 systems, well-documented APIs
3 = 3–4 systems, some API fragility
4 = 5+ systems, mixed API quality
5 = Many systems, brittle or undocumented</t>
  </si>
  <si>
    <t>R7: Context &amp; Skill Drift</t>
  </si>
  <si>
    <t>Will the agent's context, skills, and memory stay accurate as the business changes over time?</t>
  </si>
  <si>
    <t>1 = Stable environment, rarely changes
2 = Changes quarterly, predictable
3 = Changes monthly, manageable
4 = Changes frequently, hard to track
5 = Constant flux, agent breaks often</t>
  </si>
  <si>
    <t>Conventions</t>
  </si>
  <si>
    <t>Blue text on light blue cells</t>
  </si>
  <si>
    <t>Your inputs — fill these in</t>
  </si>
  <si>
    <t>Black bold text</t>
  </si>
  <si>
    <t>Formulas — auto-calculated, don't edit</t>
  </si>
  <si>
    <t>Gray italic text</t>
  </si>
  <si>
    <t>Guidance, examples, and interpretation notes</t>
  </si>
  <si>
    <t>Step 2: Feasibility &amp; Impact Scoring</t>
  </si>
  <si>
    <t>Score each use case from your Discovery tab on every dimension below. Use the 1–5 scale. If you're unsure, that's usually a 3.</t>
  </si>
  <si>
    <t>Scoring:   1 = Very Low/Poor   |   2 = Low/Poor   |   3 = Moderate   |   4 = High/Good   |   5 = Very High/Excellent</t>
  </si>
  <si>
    <t>Weight</t>
  </si>
  <si>
    <t>Use Case 1</t>
  </si>
  <si>
    <t>Use Case 2</t>
  </si>
  <si>
    <t>Use Case 3</t>
  </si>
  <si>
    <t>Use Case 4</t>
  </si>
  <si>
    <t>Use Case 5</t>
  </si>
  <si>
    <t>Use Case 6</t>
  </si>
  <si>
    <t>Use Case 7</t>
  </si>
  <si>
    <t>Use Case 8</t>
  </si>
  <si>
    <t>Use Case 9</t>
  </si>
  <si>
    <t>Use Case 10</t>
  </si>
  <si>
    <t>(Name from Discovery)</t>
  </si>
  <si>
    <t>FEASIBILITY — Can we build it?</t>
  </si>
  <si>
    <t>F1</t>
  </si>
  <si>
    <t>Strategic Alignment</t>
  </si>
  <si>
    <t>F2</t>
  </si>
  <si>
    <t>Data Readiness</t>
  </si>
  <si>
    <t>F3</t>
  </si>
  <si>
    <t>Technical Feasibility</t>
  </si>
  <si>
    <t>F4</t>
  </si>
  <si>
    <t>Autonomy Fit</t>
  </si>
  <si>
    <t>F5</t>
  </si>
  <si>
    <t>Time to Value</t>
  </si>
  <si>
    <t>Weighted Feasibility Score</t>
  </si>
  <si>
    <t>→ Interpretation: 4.0+ = highly feasible, 3.0–3.9 = feasible with effort, 2.0–2.9 = significant barriers, below 2.0 = not feasible today</t>
  </si>
  <si>
    <t>IMPACT — Is it worth it?</t>
  </si>
  <si>
    <t>I1</t>
  </si>
  <si>
    <t>Time Saved</t>
  </si>
  <si>
    <t>I2</t>
  </si>
  <si>
    <t>Cost Reduction</t>
  </si>
  <si>
    <t>I3</t>
  </si>
  <si>
    <t>Error Reduction</t>
  </si>
  <si>
    <t>I4</t>
  </si>
  <si>
    <t>Revenue Potential</t>
  </si>
  <si>
    <t>I5</t>
  </si>
  <si>
    <t>Scale Leverage</t>
  </si>
  <si>
    <t>Weighted Impact Score</t>
  </si>
  <si>
    <t>→ Interpretation: 4.0+ = transformative impact, 3.0–3.9 = meaningful impact, 2.0–2.9 = modest impact, below 2.0 = minimal value</t>
  </si>
  <si>
    <t>COMPOSITE SCORE &amp; RECOMMENDATION</t>
  </si>
  <si>
    <t>Composite (50% Feasibility + 50% Impact)</t>
  </si>
  <si>
    <t>Rank</t>
  </si>
  <si>
    <t>Recommendation</t>
  </si>
  <si>
    <t>Step 3: Risk Assessment</t>
  </si>
  <si>
    <t>For your top candidates (composite score ≥ 3.0), assess the 7 risk dimensions below.</t>
  </si>
  <si>
    <t>Risk Scale:   1 = Minimal risk   |   2 = Low risk   |   3 = Moderate risk   |   4 = High risk   |   5 = Severe risk</t>
  </si>
  <si>
    <t>Risk Dimension</t>
  </si>
  <si>
    <t>What to Consider</t>
  </si>
  <si>
    <t>#1 Ranked</t>
  </si>
  <si>
    <t>#2 Ranked</t>
  </si>
  <si>
    <t>#3 Ranked</t>
  </si>
  <si>
    <t>#4 Ranked</t>
  </si>
  <si>
    <t>#5 Ranked</t>
  </si>
  <si>
    <t>Use case name:</t>
  </si>
  <si>
    <t>R1</t>
  </si>
  <si>
    <t>Failure Consequence</t>
  </si>
  <si>
    <t>What's the worst-case harm if the agent makes an unchecked wrong decision? Financial loss, legal violations, safety issues, customer trust damage.</t>
  </si>
  <si>
    <t>R2</t>
  </si>
  <si>
    <t>Data Sensitivity</t>
  </si>
  <si>
    <t>Does this involve PII, financial records, health data, or trade secrets? What's the exposure if data leaks or is mishandled?</t>
  </si>
  <si>
    <t>R3</t>
  </si>
  <si>
    <t>Regulatory Exposure</t>
  </si>
  <si>
    <t>Subject to HIPAA, GDPR, SOC 2, financial regulations, industry-specific compliance? Regulated = governance-by-design.</t>
  </si>
  <si>
    <t>R4</t>
  </si>
  <si>
    <t>Organizational Readiness</t>
  </si>
  <si>
    <t>Does the team have the skills, infrastructure, and cultural willingness? Even a great agent fails if the org isn't ready.</t>
  </si>
  <si>
    <t>R5</t>
  </si>
  <si>
    <t>Hallucination Risk</t>
  </si>
  <si>
    <t>How critical is factual accuracy? What happens when the agent is confidently wrong? Tasks with verifiable outputs (code, math) are safer than open-ended content generation.</t>
  </si>
  <si>
    <t>R6</t>
  </si>
  <si>
    <t>MCP &amp; Integration Fragility</t>
  </si>
  <si>
    <t>How many external systems must the agent connect to? Each MCP integration is a failure point. Brittle APIs, auth changes, and rate limits compound.</t>
  </si>
  <si>
    <t>R7</t>
  </si>
  <si>
    <t>Context &amp; Skill Drift</t>
  </si>
  <si>
    <t>Will the agent's context, skills, and memory stay accurate over time? Business processes change, schemas evolve, APIs update. Score 5 if environment changes frequently.</t>
  </si>
  <si>
    <t>Average Risk Score</t>
  </si>
  <si>
    <t>Lower is better.</t>
  </si>
  <si>
    <t>Risk Level</t>
  </si>
  <si>
    <t>Autonomy Recommendation</t>
  </si>
  <si>
    <t>→ How to interpret: 🟢 Low risk (avg ≤ 2.0) = Full Autonomy — agent can operate independently. 🟡 Medium risk (2.1–3.5) = Supervised Execution — agent proposes, human approves key actions. 🔴 High risk (&gt; 3.5) = Human-Required — agent assists, human decides. If R5 (Hallucination) or R6 (Integration Fragility) alone scores 5, consider that a flag regardless of the average. A single catastrophic dimension can outweigh a safe average.</t>
  </si>
  <si>
    <t>Autonomy Calibration — From The Agentic Enterprise Strategy, Chapter 3</t>
  </si>
  <si>
    <t>🟢 Full Autonomy</t>
  </si>
  <si>
    <t>Avg risk ≤ 2.0</t>
  </si>
  <si>
    <t>Agent operates independently. Low-consequence tasks: content drafts, research summaries, inbox triage, data gathering.</t>
  </si>
  <si>
    <t>🟡 Supervised Execution</t>
  </si>
  <si>
    <t>Avg risk 2.1–3.5</t>
  </si>
  <si>
    <t>Agent proposes actions, human approves before execution. Medium-stakes: small transactions, email sends, schedule changes, report generation.</t>
  </si>
  <si>
    <t>🔴 Human-Required</t>
  </si>
  <si>
    <t>Avg risk &gt; 3.5</t>
  </si>
  <si>
    <t>Agent assists with analysis and drafts, but human makes the decision. High-stakes: financial, legal, compliance, customer-facing decisions with real consequences.</t>
  </si>
  <si>
    <t>Step 4: Prioritization Matrix</t>
  </si>
  <si>
    <t>This tab is fully auto-generated from your Scoring and Risk Assessment tabs. You don't need to enter anything here.</t>
  </si>
  <si>
    <t>The table below pulls every use case's scores, ranks them by composite, maps risk levels from the Risk Assessment tab, and provides a final recommendation. Use this as your decision summary — the artifact you bring to a planning meeting or share with stakeholders. The quadrant guide helps you interpret where each candidate falls.</t>
  </si>
  <si>
    <t>Quadrant Guide — How to Interpret the Scores</t>
  </si>
  <si>
    <t>🎯 Build This First</t>
  </si>
  <si>
    <t>Feasibility ≥ 3.5 AND Impact ≥ 3.5</t>
  </si>
  <si>
    <t>Your strongest candidates. High confidence you can build it AND it's worth building. Proceed to Selection Brief.</t>
  </si>
  <si>
    <t>💡 High Impact but Hard</t>
  </si>
  <si>
    <t>Feasibility &lt; 3.5 AND Impact ≥ 3.5</t>
  </si>
  <si>
    <t>The payoff is real but there are barriers. Identify which feasibility dimension is lowest — is it fixable with more time, data, or tools?</t>
  </si>
  <si>
    <t>⚡ Quick Win</t>
  </si>
  <si>
    <t>Feasibility ≥ 3.5 AND Impact &lt; 3.5</t>
  </si>
  <si>
    <t>Easy to build but limited strategic value. Good for learning, building team confidence, or demonstrating agent capabilities. Not your lead initiative.</t>
  </si>
  <si>
    <t>⏸️ Deprioritize</t>
  </si>
  <si>
    <t>Feasibility &lt; 3.5 AND Impact &lt; 3.5</t>
  </si>
  <si>
    <t>Not ready. Park these and revisit when conditions change — better tools, more data, different business priorities.</t>
  </si>
  <si>
    <t>Ranked Use Cases</t>
  </si>
  <si>
    <t>All values below are auto-calculated. The Risk Level column pulls from the Risk Assessment tab by matching candidate names. Candidates are listed in the order they were entered — check the Rank column to see the actual priority order.</t>
  </si>
  <si>
    <t>Feasibility</t>
  </si>
  <si>
    <t>Impact</t>
  </si>
  <si>
    <t>Composite</t>
  </si>
  <si>
    <t>Autonomy</t>
  </si>
  <si>
    <t>Risk-Adjusted
Recommendation</t>
  </si>
  <si>
    <t>Risk-Adjusted
Score</t>
  </si>
  <si>
    <t>Adjusted
Rank</t>
  </si>
  <si>
    <t>How to use this table: The ADJUSTED RANK (column K) is your primary decision guide — it factors in risk.
Risk-Adjusted Score = Composite × Risk Multiplier (Low = 1.0×, Medium = 0.85×, High = 0.70×).
This means a 4.40 composite with High risk (4.40 × 0.70 = 3.08) ranks below a 3.83 composite with Low risk (3.83 × 1.0 = 3.83).
The teaching: the highest-scoring use case isn't always the one you should build FIRST. The one with the best score-to-risk ratio is your safest path to early value.
Recommendations:
✅ Pursue = high score + low risk — build it.
✅ Pursue (Supervised) = high score + medium risk — build with human oversight.
⚠️ Investigate — mitigate risk = high score + high risk — solve the risk first.
🔍 Investigate = moderate score — identify which dimension to improve.
⏸️ Park = not ready or risk too high.
❌ Drop = math doesn't work.</t>
  </si>
  <si>
    <t>1 — Nice to have, no sponsor</t>
  </si>
  <si>
    <t>1 — Data doesn't exist yet</t>
  </si>
  <si>
    <t>1 — Requires capabilities that don't exist</t>
  </si>
  <si>
    <t>1 — Needs full autonomy but consequences are severe</t>
  </si>
  <si>
    <t>1 — Months of work before any value</t>
  </si>
  <si>
    <t>1 — Less than 2 hrs/week saved</t>
  </si>
  <si>
    <t>1 — Negligible cost savings</t>
  </si>
  <si>
    <t>1 — Errors are rare or inconsequential</t>
  </si>
  <si>
    <t>1 — No revenue connection</t>
  </si>
  <si>
    <t>1 — Benefits limited to one person</t>
  </si>
  <si>
    <t>1 — Errors are easily corrected, no real harm</t>
  </si>
  <si>
    <t>1 — Public data only</t>
  </si>
  <si>
    <t>1 — No regulatory requirements</t>
  </si>
  <si>
    <t>1 — Team is ready and eager</t>
  </si>
  <si>
    <t>1 — Outputs are verifiable (code, math)</t>
  </si>
  <si>
    <t>1 — Single system, stable API</t>
  </si>
  <si>
    <t>1 — Stable environment, rarely changes</t>
  </si>
  <si>
    <t>2 — Loosely connected to a goal</t>
  </si>
  <si>
    <t>2 — Data exists but needs major cleanup</t>
  </si>
  <si>
    <t>2 — Significant R&amp;D or custom work needed</t>
  </si>
  <si>
    <t>2 — Autonomy/risk mismatch, hard to govern</t>
  </si>
  <si>
    <t>2 — Results in 2–3 months</t>
  </si>
  <si>
    <t>2 — 2–5 hrs/week saved</t>
  </si>
  <si>
    <t>2 — Under $25K/year</t>
  </si>
  <si>
    <t>2 — Occasional errors, minor impact</t>
  </si>
  <si>
    <t>2 — Indirect revenue support</t>
  </si>
  <si>
    <t>2 — Benefits a small team (2–5)</t>
  </si>
  <si>
    <t>2 — Minor inconvenience or rework</t>
  </si>
  <si>
    <t>2 — Internal, non-sensitive data</t>
  </si>
  <si>
    <t>2 — Light compliance (internal policies)</t>
  </si>
  <si>
    <t>2 — Some skills gaps, willing to learn</t>
  </si>
  <si>
    <t>2 — Mostly verifiable with spot checks</t>
  </si>
  <si>
    <t>2 — 2 systems, well-documented APIs</t>
  </si>
  <si>
    <t>2 — Changes quarterly, predictable</t>
  </si>
  <si>
    <t>3 — Supports a known business goal</t>
  </si>
  <si>
    <t>3 — Data exists, some integration needed</t>
  </si>
  <si>
    <t>3 — Buildable but needs new tools/skills</t>
  </si>
  <si>
    <t>3 — Moderate autonomy, manageable oversight</t>
  </si>
  <si>
    <t>3 — Results in 4–6 weeks</t>
  </si>
  <si>
    <t>3 — 5–15 hrs/week saved</t>
  </si>
  <si>
    <t>3 — $25K–$75K/year</t>
  </si>
  <si>
    <t>3 — Regular errors with moderate cost</t>
  </si>
  <si>
    <t>3 — Enables faster revenue cycles</t>
  </si>
  <si>
    <t>3 — Benefits a department (10–50)</t>
  </si>
  <si>
    <t>3 — Moderate cost or customer impact</t>
  </si>
  <si>
    <t>3 — Some personal or business-sensitive data</t>
  </si>
  <si>
    <t>3 — Industry standards (SOC 2, ISO)</t>
  </si>
  <si>
    <t>3 — Moderate gaps in skills or infrastructure</t>
  </si>
  <si>
    <t>3 — Some outputs hard to verify</t>
  </si>
  <si>
    <t>3 — 3–4 systems, some API fragility</t>
  </si>
  <si>
    <t>3 — Changes monthly, mostly manageable</t>
  </si>
  <si>
    <t>4 — Directly tied to a priority</t>
  </si>
  <si>
    <t>4 — Data accessible, APIs mostly ready</t>
  </si>
  <si>
    <t>4 — Buildable with current tools, some effort</t>
  </si>
  <si>
    <t>4 — Good autonomy fit with clear guardrails</t>
  </si>
  <si>
    <t>4 — Demo-ready in 2–3 weeks</t>
  </si>
  <si>
    <t>4 — 15–30 hrs/week saved</t>
  </si>
  <si>
    <t>4 — $75K–$200K/year</t>
  </si>
  <si>
    <t>4 — Frequent errors with real consequences</t>
  </si>
  <si>
    <t>4 — Directly accelerates revenue</t>
  </si>
  <si>
    <t>4 — Benefits across the organization</t>
  </si>
  <si>
    <t>4 — Significant financial or trust damage</t>
  </si>
  <si>
    <t>4 — PII, financial records, or health data</t>
  </si>
  <si>
    <t>4 — Sector regulation (HIPAA, PCI)</t>
  </si>
  <si>
    <t>4 — Significant cultural or technical barriers</t>
  </si>
  <si>
    <t>4 — Many outputs require expert validation</t>
  </si>
  <si>
    <t>4 — 5+ systems, mixed API quality</t>
  </si>
  <si>
    <t>4 — Changes frequently, hard to track</t>
  </si>
  <si>
    <t>5 — Top-3 strategic initiative</t>
  </si>
  <si>
    <t>5 — Clean data, APIs ready, integrations exist</t>
  </si>
  <si>
    <t>5 — Could prototype in 1–2 weeks</t>
  </si>
  <si>
    <t>5 — Low-risk task, full autonomy is safe</t>
  </si>
  <si>
    <t>5 — Working prototype in days</t>
  </si>
  <si>
    <t>5 — 30+ hrs/week saved</t>
  </si>
  <si>
    <t>5 — Over $200K/year</t>
  </si>
  <si>
    <t>5 — High error rate with severe consequences</t>
  </si>
  <si>
    <t>5 — Opens new revenue streams</t>
  </si>
  <si>
    <t>5 — Scales to 100+ users or processes</t>
  </si>
  <si>
    <t>5 — Legal, safety, or severe financial harm</t>
  </si>
  <si>
    <t>5 — Highly regulated or classified data</t>
  </si>
  <si>
    <t>5 — Heavy regulation (GDPR+HIPAA, financial)</t>
  </si>
  <si>
    <t>5 — Organization is not ready for this</t>
  </si>
  <si>
    <t>5 — Errors indistinguishable from correct output</t>
  </si>
  <si>
    <t>5 — Many systems, brittle or undocumented APIs</t>
  </si>
  <si>
    <t>5 — Constant flux, agent breaks without maintenance</t>
  </si>
  <si>
    <t>Step 5: Selection Brief</t>
  </si>
  <si>
    <t>The decision document for your winning use case. Fill this in, then decide GO or NO-GO.</t>
  </si>
  <si>
    <t>This is the final output — a one-page brief for your chosen use case. Several fields auto-populate from earlier tabs. Where you see green cells with formulas, the value is calculated for you. Blue cells are your inputs.</t>
  </si>
  <si>
    <t>The Problem</t>
  </si>
  <si>
    <t>Auto-filled from your #1 RISK-ADJUSTED rank — the best candidate to build first.</t>
  </si>
  <si>
    <t>This pulls the use case with Adjusted Rank #1 from the Prioritization Matrix. The adjusted rank factors in risk — so a lower-composite but safer use case may rank above a high-composite but risky one. Override this by typing a different name if you have strategic reasons to choose differently.</t>
  </si>
  <si>
    <t>Discovery Pattern</t>
  </si>
  <si>
    <t>Which of the 10 patterns does this come from? Determines your tool chain.</t>
  </si>
  <si>
    <t>Which of the 10 discovery patterns (P1–P10) this comes from. This determines which tools and building blocks you'll need.</t>
  </si>
  <si>
    <t>What specific problem does this solve? Who experiences it? 2–3 sentences.</t>
  </si>
  <si>
    <t>Describe the pain in plain language. Anyone reading this should immediately understand why it matters.</t>
  </si>
  <si>
    <t>Who It Affects</t>
  </si>
  <si>
    <t>Name the specific people or roles. The more concrete, the easier it is to measure success later.</t>
  </si>
  <si>
    <t>Current State</t>
  </si>
  <si>
    <t>Walk through the manual steps. How is this done today?</t>
  </si>
  <si>
    <t>Walk through the manual process step by step. This becomes your 'before' picture for measuring improvement.</t>
  </si>
  <si>
    <t>Hours Consumed / Week</t>
  </si>
  <si>
    <t>Total person-hours across ALL affected people per week.</t>
  </si>
  <si>
    <t>Total person-hours per week across ALL people who touch this process. If 3 people each spend 5 hrs, enter 15. This is a weekly figure.</t>
  </si>
  <si>
    <t>Fully Loaded Cost / Hour</t>
  </si>
  <si>
    <t>HOURLY rate. Avg fully loaded cost per person per hour. Knowledge workers: typically $75–$150/hr.</t>
  </si>
  <si>
    <t>This is the HOURLY cost per person including salary, benefits, taxes, and overhead. A $75K/year employee costs roughly $50–$60/hr fully loaded. Senior knowledge workers: $100–$150/hr.</t>
  </si>
  <si>
    <t>Annual Cost of Current State</t>
  </si>
  <si>
    <t>Auto-calculated: Hours/week × Cost/hour × 52 weeks</t>
  </si>
  <si>
    <t>Auto-calculated: Hours/week × Hourly cost × 52 weeks = your annual spend on this problem. This is the ceiling for your ROI.</t>
  </si>
  <si>
    <t>Error Rate (current process)</t>
  </si>
  <si>
    <t>Enter the NUMBER only (e.g. 5 means 5%). Select N/A if not applicable.</t>
  </si>
  <si>
    <t>What percentage of outputs have errors today? Even 5% on high-volume tasks compounds fast.</t>
  </si>
  <si>
    <t>Cost Per Error</t>
  </si>
  <si>
    <t>Cost per error in dollars. Select N/A if not applicable.</t>
  </si>
  <si>
    <t>What does each error cost in rework, penalties, customer churn, or lost deals? Can range from $10 (simple rework) to $10K+ (compliance violation).</t>
  </si>
  <si>
    <t>Annual Error Cost</t>
  </si>
  <si>
    <t>Auto-calculated: Hours/week × 52 × Error Rate × Cost Per Error</t>
  </si>
  <si>
    <t>Annual cost of errors in the current process. With 20 hrs/week, 5% error rate, $100/error: 20 × 52 × 0.05 × $100 = $5,200/year.</t>
  </si>
  <si>
    <t>Total Annual Cost (incl. errors)</t>
  </si>
  <si>
    <t>Auto-calculated: Annual Labor Cost + Annual Error Cost</t>
  </si>
  <si>
    <t>Your TRUE annual cost of the current state — labor plus error impact. Both are annual figures. This is your ROI baseline.</t>
  </si>
  <si>
    <t>The Agent Approach</t>
  </si>
  <si>
    <t>What the Agent Will Do</t>
  </si>
  <si>
    <t>Describe in plain language — not technical specs. What does the user experience?</t>
  </si>
  <si>
    <t>Describe the agent's job in plain language — what it does, not how it's built. Focus on the user experience.</t>
  </si>
  <si>
    <t>Key Building Blocks</t>
  </si>
  <si>
    <t>Select the combination that fits. See the 8 blocks in the Primer.</t>
  </si>
  <si>
    <t>Which of the 8 building blocks from the Primer. The pattern you selected in Discovery tab suggests the right combination.</t>
  </si>
  <si>
    <t>Tools &amp; MCP Integrations</t>
  </si>
  <si>
    <t>Select primary tool chain. Add specific MCP servers (Gmail, Slack, GitHub, etc.) in the text.</t>
  </si>
  <si>
    <t>List the specific systems the agent connects to. Check your pattern's Arsenal in the Discovery tab for suggested tool chains.</t>
  </si>
  <si>
    <t>Autonomy Level</t>
  </si>
  <si>
    <t>Auto-filled from Risk Assessment. Full Autonomy / Supervised / Human-Required.</t>
  </si>
  <si>
    <t>Auto-filled from your Risk Assessment. Determines how much human oversight is needed.</t>
  </si>
  <si>
    <t>Success Criteria</t>
  </si>
  <si>
    <t>2–3 measurable outcomes. How will you know this worked?</t>
  </si>
  <si>
    <t>Define 2–3 measurable outcomes. 'Reduce ticket triage time from 6 hrs/day to 1 hr/day' is better than 'improve efficiency.'</t>
  </si>
  <si>
    <t>Primary Risk</t>
  </si>
  <si>
    <t>Select the biggest risk. These are the most common in AI agent systems.</t>
  </si>
  <si>
    <t>The single biggest thing that could derail this. Agent-specific risks (hallucination, MCP failure, drift) are the most commonly underestimated.</t>
  </si>
  <si>
    <t>Mitigation Plan</t>
  </si>
  <si>
    <t>How will you handle this risk? Be specific.</t>
  </si>
  <si>
    <t>How will you handle the primary risk? Be specific: 'Add human review for all outputs above $1K' not 'monitor carefully.'</t>
  </si>
  <si>
    <t>Preliminary ROI Estimate</t>
  </si>
  <si>
    <t>This is a back-of-napkin estimate to answer: "Is this worth pursuing?" For a full financial model with token costs, infra pricing, and multi-year projections, use the ROI &amp; Business Case Calculator — a separate deliverable on agenticstrategylab.com.</t>
  </si>
  <si>
    <t>Current Annual Cost</t>
  </si>
  <si>
    <t>From The Problem section — now includes error costs.</t>
  </si>
  <si>
    <t>Includes both labor cost and error cost. This is your true baseline for ROI calculation.</t>
  </si>
  <si>
    <t>Expected Automation Rate</t>
  </si>
  <si>
    <t>Select a number (e.g. 50 = 50%). 50–70% realistic for v1 agents.</t>
  </si>
  <si>
    <t>What % of the work can the agent handle? 50–70% is realistic for a v1 agent. 30% is conservative. 90% is rare outside simple tasks.</t>
  </si>
  <si>
    <t>Annual Value of Automation</t>
  </si>
  <si>
    <t>Auto-calculated: Annual Cost × Automation Rate</t>
  </si>
  <si>
    <t>Auto-calculated: Annual Cost × Automation Rate. This is your gross annual benefit before agent costs.</t>
  </si>
  <si>
    <t>Estimated Build Cost</t>
  </si>
  <si>
    <t>ONE-TIME cost. Engineering + tools + infra to build and deploy.</t>
  </si>
  <si>
    <t>One-time cost to build and deploy. Includes engineering time, tool licenses, and infrastructure setup. This is NOT annual — it's the upfront investment.</t>
  </si>
  <si>
    <t>Estimated Annual Run Cost</t>
  </si>
  <si>
    <t>ANNUAL cost. API tokens + hosting + monitoring + maintenance per year.</t>
  </si>
  <si>
    <t>Recurring yearly cost: API token usage, cloud hosting, monitoring tools, and ongoing maintenance. This IS annual.</t>
  </si>
  <si>
    <t>Net Annual Benefit</t>
  </si>
  <si>
    <t>Auto-calculated: Annual Value − Annual Run Cost</t>
  </si>
  <si>
    <t>Auto-calculated: Annual Value minus Annual Run Cost. This is your net annual savings after paying to operate the agent.</t>
  </si>
  <si>
    <t>Payback Period</t>
  </si>
  <si>
    <t>Auto-calculated: Build Cost ÷ monthly net benefit. Under 6 months is strong.</t>
  </si>
  <si>
    <t>Auto-calculated: How many months until the build cost is recovered. Under 6 months = strong. Under 12 months = solid.</t>
  </si>
  <si>
    <t>ROI Multiple</t>
  </si>
  <si>
    <t>Auto-calculated: Net benefit ÷ total investment. 3x+ = strong. 5x+ = compelling.</t>
  </si>
  <si>
    <t>Auto-calculated: Net annual benefit divided by total investment (build + run). 3x = good. 5x+ = compelling.</t>
  </si>
  <si>
    <t>How to read the ROI:</t>
  </si>
  <si>
    <t>5x+ = compelling, easy to justify  |  3x–5x = solid case  |  2x–3x = marginal, needs strategic reason  |  Below 2x = math doesn't support it</t>
  </si>
  <si>
    <t>The Decision</t>
  </si>
  <si>
    <t>GO / NO-GO / REVISIT</t>
  </si>
  <si>
    <t>The final call. If NO-GO or REVISIT, note conditions for revisiting below.</t>
  </si>
  <si>
    <t>The final decision. GO = commit resources. NO-GO = this isn't viable. REVISIT = promising but not now.</t>
  </si>
  <si>
    <t>Rationale</t>
  </si>
  <si>
    <t>Why this decision? Reference composite score, risk, ROI, and strategic fit.</t>
  </si>
  <si>
    <t>Why this decision? A decision-maker reading only this cell should understand the reasoning.</t>
  </si>
  <si>
    <t>Next Steps (if GO)</t>
  </si>
  <si>
    <t>Who owns this? What's the first milestone? When does the team start?</t>
  </si>
  <si>
    <t>Who owns this? What's the first milestone? When does the build start? Make it actionable.</t>
  </si>
  <si>
    <t>Score Summary (Auto-Populated)</t>
  </si>
  <si>
    <t>Composite Score</t>
  </si>
  <si>
    <t>Feasibility Score</t>
  </si>
  <si>
    <t>Impact Score</t>
  </si>
  <si>
    <t>Adjusted Rank</t>
  </si>
  <si>
    <t>ROI Health Check</t>
  </si>
  <si>
    <t>Compares your ROI Multiple against thresholds. If this conflicts with the composite-based recommendation, the ROI should win — money talks.</t>
  </si>
  <si>
    <r>
      <t xml:space="preserve">Not every problem needs an AI agent. A lot of what feels like "AI could help here" is actually a better Zapier workflow, a script, or honestly, a better spreadsheet. This tab helps you tell the difference.
Each of the 10 patterns below targets a specific </t>
    </r>
    <r>
      <rPr>
        <b/>
        <i/>
        <sz val="10"/>
        <color rgb="FF444444"/>
        <rFont val="Arial"/>
        <family val="2"/>
      </rPr>
      <t>shape of problem</t>
    </r>
    <r>
      <rPr>
        <sz val="10"/>
        <color rgb="FF444444"/>
        <rFont val="Arial"/>
      </rPr>
      <t xml:space="preserve"> where agents genuinely outperform traditional tools. The test is simple: does the problem require judgment, synthesis across multiple sources, handling messy unstructured inputs, or coordinating multiple steps where the next action depends on what just happened? If yes — you're looking at an agent. If it's a clean trigger → action, it's automation. Both are fine. But they're different investments with different architectures.
For each pattern, you'll find: the discovery question (to spark recognition), space for your answer, a concrete example, why this specifically needs an agent and not automation, the builder's arsenal (which tools fit), the building blocks involved (from the Primer), and a pattern match checklist — 4 signals that confirm you're looking at this pattern.
Start by reading through all 10 patterns. Some will immediately remind you of a process you've seen. Write those down — even rough notes help. Then scroll to the candidate table at the bottom, name your strongest use cases, and associate each with a pattern. That pattern association matters — it tells you which building blocks the agent needs and which architecture fits.</t>
    </r>
  </si>
  <si>
    <t>Here's what it means: take the same ticket, application, or request and show it to two experienced people on your team — people who've been doing this job for years. If they'd route it differently, prioritize it differently, or make a different call roughly 15% of the time, that tells you something important: the decision logic is inherently ambiguous. It's not that one person is wrong — it's that reasonable experts interpret the same inputs differently based on subtle context clues.</t>
  </si>
  <si>
    <r>
      <t xml:space="preserve">For each dimension, ask yourself: "Based on what I learned in the Discovery prompts, how would I rate this use case?" The dimension definitions are in the How to Use tab — refer to them if you're unsure what a score means. You don't need to score all 10 candidates. Focus on the ones that felt most promising during Discovery. The </t>
    </r>
    <r>
      <rPr>
        <sz val="10"/>
        <color rgb="FF00B050"/>
        <rFont val="Arial"/>
        <family val="2"/>
      </rPr>
      <t>workbook</t>
    </r>
    <r>
      <rPr>
        <sz val="10"/>
        <color rgb="FF555560"/>
        <rFont val="Arial"/>
        <charset val="1"/>
      </rPr>
      <t xml:space="preserve"> will auto-</t>
    </r>
    <r>
      <rPr>
        <sz val="10"/>
        <color rgb="FF00B050"/>
        <rFont val="Arial"/>
        <family val="2"/>
      </rPr>
      <t>calculate</t>
    </r>
    <r>
      <rPr>
        <sz val="10"/>
        <color rgb="FF555560"/>
        <rFont val="Arial"/>
        <charset val="1"/>
      </rPr>
      <t xml:space="preserve"> </t>
    </r>
    <r>
      <rPr>
        <sz val="10"/>
        <color rgb="FF00B050"/>
        <rFont val="Arial"/>
        <family val="2"/>
      </rPr>
      <t>weighted scores</t>
    </r>
    <r>
      <rPr>
        <sz val="10"/>
        <color rgb="FF555560"/>
        <rFont val="Arial"/>
        <charset val="1"/>
      </rPr>
      <t xml:space="preserve">, </t>
    </r>
    <r>
      <rPr>
        <sz val="10"/>
        <color rgb="FF00B050"/>
        <rFont val="Arial"/>
        <family val="2"/>
      </rPr>
      <t>rank</t>
    </r>
    <r>
      <rPr>
        <sz val="10"/>
        <color rgb="FF555560"/>
        <rFont val="Arial"/>
        <charset val="1"/>
      </rPr>
      <t xml:space="preserve"> your candidates, and </t>
    </r>
    <r>
      <rPr>
        <sz val="10"/>
        <color rgb="FF00B050"/>
        <rFont val="Arial"/>
        <family val="2"/>
      </rPr>
      <t>give</t>
    </r>
    <r>
      <rPr>
        <sz val="10"/>
        <color rgb="FF555560"/>
        <rFont val="Arial"/>
        <charset val="1"/>
      </rPr>
      <t xml:space="preserve"> you a </t>
    </r>
    <r>
      <rPr>
        <sz val="10"/>
        <color rgb="FF00B050"/>
        <rFont val="Arial"/>
        <family val="2"/>
      </rPr>
      <t>recommendation</t>
    </r>
    <r>
      <rPr>
        <sz val="10"/>
        <color rgb="FF555560"/>
        <rFont val="Arial"/>
        <charset val="1"/>
      </rPr>
      <t>.</t>
    </r>
  </si>
  <si>
    <t>→ How to read the recommendations: ✅ Pursue = strong candidate, proceed to Risk Assessment. 🔍 Investigate = promising but has gaps — identify which dimension is pulling the score down and decide if it's fixable. 
⏸️ Park = not ready — revisit if conditions change. ❌ Drop = the math doesn't work right now. Take your top 3–5 (those scoring ≥ 3.0) to the Risk Assessment tab.</t>
  </si>
  <si>
    <r>
      <t xml:space="preserve">Risk scoring works differently from feasibility and impact: here, lower is better. Score 1 = minimal risk, 5 = severe risk. The first 4 dimensions (R1–R4) are standard enterprise risks. The last 3 (R5–R7) are specific to AI agent systems — these are the failure modes that traditional project risk assessments miss, including hallucination, integration fragility, and drift. 
The workbook will </t>
    </r>
    <r>
      <rPr>
        <sz val="10"/>
        <color rgb="FF00B050"/>
        <rFont val="Arial"/>
        <family val="2"/>
      </rPr>
      <t>map</t>
    </r>
    <r>
      <rPr>
        <sz val="10"/>
        <color rgb="FF555560"/>
        <rFont val="Arial"/>
        <charset val="1"/>
      </rPr>
      <t xml:space="preserve"> your average </t>
    </r>
    <r>
      <rPr>
        <sz val="10"/>
        <color rgb="FF00B050"/>
        <rFont val="Arial"/>
        <family val="2"/>
      </rPr>
      <t>risk score to an autonomy recommendation</t>
    </r>
    <r>
      <rPr>
        <sz val="10"/>
        <color rgb="FF555560"/>
        <rFont val="Arial"/>
        <charset val="1"/>
      </rPr>
      <t xml:space="preserve"> based on the framework in The Agentic Enterprise Strategy.</t>
    </r>
  </si>
  <si>
    <t>Stock Market Guide</t>
  </si>
  <si>
    <t>Personal Calendar Aid</t>
  </si>
  <si>
    <t>Real Estate Searcher</t>
  </si>
  <si>
    <t>Real Estate Franchisee</t>
  </si>
  <si>
    <t>News Letter - Daily Quotes</t>
  </si>
  <si>
    <t>Travel Agent</t>
  </si>
  <si>
    <t>5 — Top-3 initiative</t>
  </si>
  <si>
    <t>2 — Loosely connected</t>
  </si>
  <si>
    <t>4 — Tied to a priority</t>
  </si>
  <si>
    <t>3 — Supports a business goal</t>
  </si>
  <si>
    <t>4 — APIs mostly ready</t>
  </si>
  <si>
    <t>5 — Clean and ready</t>
  </si>
  <si>
    <t>2 — Needs major cleanup</t>
  </si>
  <si>
    <t>3 — Some integration needed</t>
  </si>
  <si>
    <t>3 — Needs new tools/skills</t>
  </si>
  <si>
    <t>5 — Prototype in 1–2 wks</t>
  </si>
  <si>
    <t>2 — Major custom work</t>
  </si>
  <si>
    <t>5 — Low-risk full autonomy</t>
  </si>
  <si>
    <t>2 — Hard to govern</t>
  </si>
  <si>
    <t>3 — 1–3 months to value</t>
  </si>
  <si>
    <t>4 — Weeks to first value</t>
  </si>
  <si>
    <t>2 — 2–5 hrs/wk</t>
  </si>
  <si>
    <t>1 — Under 2 hrs/wk</t>
  </si>
  <si>
    <t>3 — 5–15 hrs/wk</t>
  </si>
  <si>
    <t>1 — Negligible</t>
  </si>
  <si>
    <t>3 — Regular moderate</t>
  </si>
  <si>
    <t>1 — Rare &amp; minor</t>
  </si>
  <si>
    <t>3 — Faster cycles</t>
  </si>
  <si>
    <t>1 — No revenue link</t>
  </si>
  <si>
    <t>4 — Accelerates revenue</t>
  </si>
  <si>
    <t>1 — One person</t>
  </si>
  <si>
    <t>1 — Easily corrected</t>
  </si>
  <si>
    <t>3 — Moderate cost/impact</t>
  </si>
  <si>
    <t>4 — Significant damage</t>
  </si>
  <si>
    <t>3 — Some personal data</t>
  </si>
  <si>
    <t>1 — No regulation</t>
  </si>
  <si>
    <t>2 — Internal policies</t>
  </si>
  <si>
    <t>3 — SOC 2 / ISO</t>
  </si>
  <si>
    <t>2 — Some skill gaps</t>
  </si>
  <si>
    <t>2 — Spot-checkable</t>
  </si>
  <si>
    <t>3 — Some hard to verify</t>
  </si>
  <si>
    <t>1 — Verifiable outputs</t>
  </si>
  <si>
    <t>4 — 5+ mixed quality</t>
  </si>
  <si>
    <t>5 — Many brittle APIs</t>
  </si>
  <si>
    <t>1 — Single stable API</t>
  </si>
  <si>
    <t>2 — Quarterly predictable</t>
  </si>
  <si>
    <t>4 — Frequent hard to track</t>
  </si>
  <si>
    <t>1 — Stable rarely changes</t>
  </si>
  <si>
    <t>P8 — Repeated Analysis</t>
  </si>
  <si>
    <t>Enjoyable travel breaks</t>
  </si>
  <si>
    <t>Customers, Business and Sales</t>
  </si>
  <si>
    <t>Organization-wide (200+)</t>
  </si>
  <si>
    <t>Customers do independent analysis</t>
  </si>
  <si>
    <t>Agent will plan the travel like an expert</t>
  </si>
  <si>
    <t>LLM + Loop + Tools + Skills + Memory + Guardrails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</si>
</sst>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
  </numFmts>
  <fonts count="94" x14ac:knownFonts="1">
    <font>
      <sz val="11"/>
      <color theme="1"/>
      <name val="Calibri"/>
      <family val="2"/>
      <charset val="1"/>
    </font>
    <font>
      <sz val="10"/>
      <color rgb="FF888890"/>
      <name val="Arial"/>
      <charset val="1"/>
    </font>
    <font>
      <b/>
      <sz val="13"/>
      <color rgb="FF1A6B66"/>
      <name val="Arial"/>
      <charset val="1"/>
    </font>
    <font>
      <sz val="10"/>
      <color rgb="FF555560"/>
      <name val="Arial"/>
      <charset val="1"/>
    </font>
    <font>
      <b/>
      <sz val="11"/>
      <color rgb="FF0F0F14"/>
      <name val="Arial"/>
      <charset val="1"/>
    </font>
    <font>
      <sz val="10"/>
      <color rgb="FF0F0F14"/>
      <name val="Arial"/>
      <charset val="1"/>
    </font>
    <font>
      <b/>
      <sz val="11"/>
      <color rgb="FFFFFFFF"/>
      <name val="Arial"/>
      <charset val="1"/>
    </font>
    <font>
      <b/>
      <sz val="10"/>
      <color rgb="FF2563EB"/>
      <name val="Arial"/>
      <charset val="1"/>
    </font>
    <font>
      <b/>
      <sz val="10"/>
      <color rgb="FF059669"/>
      <name val="Arial"/>
      <charset val="1"/>
    </font>
    <font>
      <b/>
      <sz val="10"/>
      <color rgb="FFDC2626"/>
      <name val="Arial"/>
      <charset val="1"/>
    </font>
    <font>
      <b/>
      <sz val="10"/>
      <color rgb="FF1A6B66"/>
      <name val="Arial"/>
      <charset val="1"/>
    </font>
    <font>
      <b/>
      <sz val="10"/>
      <color rgb="FFFFFFFF"/>
      <name val="Arial"/>
      <charset val="1"/>
    </font>
    <font>
      <sz val="9"/>
      <color rgb="FF1A6B66"/>
      <name val="Arial"/>
      <charset val="1"/>
    </font>
    <font>
      <sz val="10"/>
      <color rgb="FF0000FF"/>
      <name val="Arial"/>
      <charset val="1"/>
    </font>
    <font>
      <b/>
      <sz val="10"/>
      <color rgb="FF0F0F14"/>
      <name val="Arial"/>
      <charset val="1"/>
    </font>
    <font>
      <i/>
      <sz val="9"/>
      <color rgb="FF888890"/>
      <name val="Arial"/>
      <charset val="1"/>
    </font>
    <font>
      <sz val="9"/>
      <color rgb="FF555560"/>
      <name val="Arial"/>
      <charset val="1"/>
    </font>
    <font>
      <i/>
      <sz val="9"/>
      <color rgb="FF1A6B66"/>
      <name val="Arial"/>
      <charset val="1"/>
    </font>
    <font>
      <sz val="9"/>
      <color rgb="FF555560"/>
      <name val="Consolas"/>
      <charset val="1"/>
    </font>
    <font>
      <sz val="9"/>
      <color rgb="FF0000FF"/>
      <name val="Arial"/>
      <charset val="1"/>
    </font>
    <font>
      <b/>
      <sz val="11"/>
      <color rgb="FF2563EB"/>
      <name val="Arial"/>
      <charset val="1"/>
    </font>
    <font>
      <i/>
      <sz val="9"/>
      <color rgb="FF2563EB"/>
      <name val="Arial"/>
      <charset val="1"/>
    </font>
    <font>
      <b/>
      <sz val="11"/>
      <color rgb="FF059669"/>
      <name val="Arial"/>
      <charset val="1"/>
    </font>
    <font>
      <i/>
      <sz val="9"/>
      <color rgb="FF059669"/>
      <name val="Arial"/>
      <charset val="1"/>
    </font>
    <font>
      <b/>
      <sz val="12"/>
      <color rgb="FF0F0F14"/>
      <name val="Arial"/>
      <charset val="1"/>
    </font>
    <font>
      <b/>
      <sz val="10"/>
      <name val="Arial"/>
      <charset val="1"/>
    </font>
    <font>
      <b/>
      <sz val="11"/>
      <color rgb="FFDC2626"/>
      <name val="Arial"/>
      <charset val="1"/>
    </font>
    <font>
      <b/>
      <sz val="12"/>
      <color rgb="FFDC2626"/>
      <name val="Arial"/>
      <charset val="1"/>
    </font>
    <font>
      <i/>
      <sz val="9"/>
      <color rgb="FFDC2626"/>
      <name val="Arial"/>
      <charset val="1"/>
    </font>
    <font>
      <b/>
      <sz val="9"/>
      <color rgb="FF0F0F14"/>
      <name val="Arial"/>
      <charset val="1"/>
    </font>
    <font>
      <b/>
      <sz val="11"/>
      <color rgb="FF1A6B66"/>
      <name val="Arial"/>
      <charset val="1"/>
    </font>
    <font>
      <b/>
      <sz val="11"/>
      <name val="Cambria"/>
      <charset val="1"/>
    </font>
    <font>
      <b/>
      <sz val="14"/>
      <color rgb="FF1A6B66"/>
      <name val="Arial"/>
      <charset val="1"/>
    </font>
    <font>
      <b/>
      <sz val="11"/>
      <color rgb="FF0F0F14"/>
      <name val="Arial"/>
      <family val="2"/>
    </font>
    <font>
      <b/>
      <sz val="10"/>
      <color rgb="FF0D9488"/>
      <name val="Arial"/>
    </font>
    <font>
      <i/>
      <sz val="10"/>
      <color rgb="FF3B5249"/>
      <name val="Arial"/>
    </font>
    <font>
      <sz val="10"/>
      <color rgb="FF444444"/>
      <name val="Arial"/>
    </font>
    <font>
      <b/>
      <sz val="10"/>
      <color rgb="FFFFFFFF"/>
      <name val="Arial"/>
    </font>
    <font>
      <b/>
      <sz val="9"/>
      <color rgb="FF0D9488"/>
      <name val="Arial"/>
    </font>
    <font>
      <b/>
      <sz val="10"/>
      <color rgb="FF333333"/>
      <name val="Arial"/>
    </font>
    <font>
      <sz val="10"/>
      <color rgb="FF333333"/>
      <name val="Arial"/>
    </font>
    <font>
      <i/>
      <sz val="10"/>
      <color rgb="FF71717A"/>
      <name val="Arial"/>
    </font>
    <font>
      <b/>
      <sz val="16"/>
      <color rgb="FFFFFFFF"/>
      <name val="Georgia"/>
    </font>
    <font>
      <sz val="10"/>
      <color rgb="FFA0C4E8"/>
      <name val="Arial"/>
    </font>
    <font>
      <i/>
      <sz val="9"/>
      <color rgb="FF7FB3D8"/>
      <name val="Arial"/>
    </font>
    <font>
      <b/>
      <sz val="12"/>
      <color rgb="FF1E3A5F"/>
      <name val="Georgia"/>
    </font>
    <font>
      <b/>
      <sz val="13"/>
      <color rgb="FFFFFFFF"/>
      <name val="Georgia"/>
    </font>
    <font>
      <b/>
      <sz val="12"/>
      <color rgb="FFFFFFFF"/>
      <name val="Arial"/>
    </font>
    <font>
      <b/>
      <sz val="12"/>
      <color rgb="FF1A1A2E"/>
      <name val="Georgia"/>
    </font>
    <font>
      <b/>
      <sz val="10"/>
      <color rgb="FF1A1A2E"/>
      <name val="Arial"/>
    </font>
    <font>
      <b/>
      <sz val="10"/>
      <color rgb="FFD97706"/>
      <name val="Arial"/>
    </font>
    <font>
      <i/>
      <sz val="9.5"/>
      <color rgb="FF64748B"/>
      <name val="Arial"/>
    </font>
    <font>
      <i/>
      <sz val="9.5"/>
      <color rgb="FFD97706"/>
      <name val="Arial"/>
    </font>
    <font>
      <b/>
      <sz val="9.5"/>
      <color rgb="FF0D9488"/>
      <name val="Arial"/>
    </font>
    <font>
      <sz val="9.5"/>
      <color rgb="FF555555"/>
      <name val="Arial"/>
    </font>
    <font>
      <b/>
      <sz val="10"/>
      <color rgb="FF2563EB"/>
      <name val="Arial"/>
    </font>
    <font>
      <i/>
      <sz val="9.5"/>
      <color rgb="FF2563EB"/>
      <name val="Arial"/>
    </font>
    <font>
      <b/>
      <sz val="10"/>
      <color rgb="FF7C3AED"/>
      <name val="Arial"/>
    </font>
    <font>
      <i/>
      <sz val="9.5"/>
      <color rgb="FF7C3AED"/>
      <name val="Arial"/>
    </font>
    <font>
      <b/>
      <sz val="10"/>
      <color rgb="FFEA580C"/>
      <name val="Arial"/>
    </font>
    <font>
      <i/>
      <sz val="9.5"/>
      <color rgb="FFEA580C"/>
      <name val="Arial"/>
    </font>
    <font>
      <i/>
      <sz val="9.5"/>
      <color rgb="FF0D9488"/>
      <name val="Arial"/>
    </font>
    <font>
      <b/>
      <sz val="10"/>
      <color rgb="FF059669"/>
      <name val="Arial"/>
    </font>
    <font>
      <i/>
      <sz val="9.5"/>
      <color rgb="FF059669"/>
      <name val="Arial"/>
    </font>
    <font>
      <b/>
      <sz val="10"/>
      <color rgb="FFDC2626"/>
      <name val="Arial"/>
    </font>
    <font>
      <i/>
      <sz val="9.5"/>
      <color rgb="FFDC2626"/>
      <name val="Arial"/>
    </font>
    <font>
      <b/>
      <sz val="10"/>
      <color rgb="FF6366F1"/>
      <name val="Arial"/>
    </font>
    <font>
      <i/>
      <sz val="9.5"/>
      <color rgb="FF6366F1"/>
      <name val="Arial"/>
    </font>
    <font>
      <b/>
      <sz val="10"/>
      <color rgb="FF0891B2"/>
      <name val="Arial"/>
    </font>
    <font>
      <i/>
      <sz val="9.5"/>
      <color rgb="FF0891B2"/>
      <name val="Arial"/>
    </font>
    <font>
      <b/>
      <sz val="10"/>
      <color rgb="FF92400E"/>
      <name val="Arial"/>
    </font>
    <font>
      <i/>
      <sz val="9.5"/>
      <color rgb="FF92400E"/>
      <name val="Arial"/>
    </font>
    <font>
      <sz val="10"/>
      <color rgb="FF1A1A2E"/>
      <name val="Arial"/>
    </font>
    <font>
      <b/>
      <sz val="10"/>
      <color rgb="FF1E3A5F"/>
      <name val="Arial"/>
    </font>
    <font>
      <i/>
      <sz val="10"/>
      <color rgb="FF64748B"/>
      <name val="Arial"/>
    </font>
    <font>
      <b/>
      <sz val="18"/>
      <color rgb="FFFFFFFF"/>
      <name val="Georgia"/>
    </font>
    <font>
      <sz val="10"/>
      <color rgb="FF7FB3D8"/>
      <name val="Arial"/>
    </font>
    <font>
      <b/>
      <sz val="13"/>
      <color rgb="FF1E3A5F"/>
      <name val="Georgia"/>
    </font>
    <font>
      <sz val="10.5"/>
      <color rgb="FF444444"/>
      <name val="Arial"/>
    </font>
    <font>
      <b/>
      <sz val="11"/>
      <color rgb="FFD97706"/>
      <name val="Arial"/>
    </font>
    <font>
      <b/>
      <sz val="11"/>
      <color rgb="FF2563EB"/>
      <name val="Arial"/>
    </font>
    <font>
      <b/>
      <sz val="11"/>
      <color rgb="FF7C3AED"/>
      <name val="Arial"/>
    </font>
    <font>
      <b/>
      <sz val="11"/>
      <color rgb="FF0D9488"/>
      <name val="Arial"/>
    </font>
    <font>
      <b/>
      <sz val="11"/>
      <color rgb="FF059669"/>
      <name val="Arial"/>
    </font>
    <font>
      <sz val="10"/>
      <color rgb="FF64748B"/>
      <name val="Arial"/>
    </font>
    <font>
      <b/>
      <i/>
      <sz val="10"/>
      <color rgb="FF444444"/>
      <name val="Arial"/>
      <family val="2"/>
    </font>
    <font>
      <sz val="10"/>
      <color rgb="FF444444"/>
      <name val="Arial"/>
      <family val="2"/>
    </font>
    <font>
      <i/>
      <sz val="10"/>
      <color rgb="FF3B5249"/>
      <name val="Arial"/>
      <family val="2"/>
    </font>
    <font>
      <sz val="4"/>
      <color theme="1"/>
      <name val="Calibri"/>
      <family val="2"/>
      <charset val="1"/>
    </font>
    <font>
      <sz val="10"/>
      <color rgb="FF00B050"/>
      <name val="Arial"/>
      <family val="2"/>
    </font>
    <font>
      <sz val="10"/>
      <color rgb="FF555560"/>
      <name val="Arial"/>
      <family val="2"/>
    </font>
    <font>
      <b/>
      <sz val="12"/>
      <color theme="0"/>
      <name val="Georgia"/>
      <family val="1"/>
    </font>
    <font>
      <i/>
      <sz val="9"/>
      <color rgb="FF1A6B66"/>
      <name val="Arial"/>
      <family val="2"/>
    </font>
    <font>
      <sz val="10"/>
      <color rgb="FF0000FF"/>
      <name val="Arial"/>
      <family val="2"/>
    </font>
  </fonts>
  <fills count="40">
    <fill>
      <patternFill patternType="none"/>
    </fill>
    <fill>
      <patternFill patternType="gray125"/>
    </fill>
    <fill>
      <patternFill patternType="solid">
        <fgColor rgb="FF0F0F14"/>
        <bgColor rgb="FF000000"/>
      </patternFill>
    </fill>
    <fill>
      <patternFill patternType="solid">
        <fgColor rgb="FFF8F8F6"/>
        <bgColor rgb="FFFEF2F2"/>
      </patternFill>
    </fill>
    <fill>
      <patternFill patternType="solid">
        <fgColor rgb="FF2563EB"/>
        <bgColor rgb="FF0066CC"/>
      </patternFill>
    </fill>
    <fill>
      <patternFill patternType="solid">
        <fgColor rgb="FF059669"/>
        <bgColor rgb="FF339966"/>
      </patternFill>
    </fill>
    <fill>
      <patternFill patternType="solid">
        <fgColor rgb="FFDC2626"/>
        <bgColor rgb="FF993300"/>
      </patternFill>
    </fill>
    <fill>
      <patternFill patternType="solid">
        <fgColor rgb="FFEFF6FF"/>
        <bgColor rgb="FFF8F8F6"/>
      </patternFill>
    </fill>
    <fill>
      <patternFill patternType="solid">
        <fgColor rgb="FFECFDF5"/>
        <bgColor rgb="FFF0FDF4"/>
      </patternFill>
    </fill>
    <fill>
      <patternFill patternType="solid">
        <fgColor rgb="FFFEF2F2"/>
        <bgColor rgb="FFF8F8F6"/>
      </patternFill>
    </fill>
    <fill>
      <patternFill patternType="solid">
        <fgColor rgb="FFFFFFFF"/>
        <bgColor rgb="FFF8F8F6"/>
      </patternFill>
    </fill>
    <fill>
      <patternFill patternType="solid">
        <fgColor rgb="FF1A6B66"/>
        <bgColor rgb="FF059669"/>
      </patternFill>
    </fill>
    <fill>
      <patternFill patternType="solid">
        <fgColor rgb="FFE6F2F1"/>
        <bgColor rgb="FFEEEEE8"/>
      </patternFill>
    </fill>
    <fill>
      <patternFill patternType="solid">
        <fgColor rgb="FFF0FDF4"/>
        <bgColor rgb="FFECFDF5"/>
      </patternFill>
    </fill>
    <fill>
      <patternFill patternType="solid">
        <fgColor rgb="FFFEF3C7"/>
        <bgColor rgb="FFFEF2F2"/>
      </patternFill>
    </fill>
    <fill>
      <patternFill patternType="solid">
        <fgColor rgb="FFF0FDF4"/>
        <bgColor rgb="FFF0FDF4"/>
      </patternFill>
    </fill>
    <fill>
      <patternFill patternType="solid">
        <fgColor rgb="FF0D9488"/>
        <bgColor rgb="FF0D9488"/>
      </patternFill>
    </fill>
    <fill>
      <patternFill patternType="solid">
        <fgColor rgb="FFFFFFFF"/>
        <bgColor rgb="FFFFFFFF"/>
      </patternFill>
    </fill>
    <fill>
      <patternFill patternType="solid">
        <fgColor rgb="FF1E3A5F"/>
        <bgColor rgb="FF1E3A5F"/>
      </patternFill>
    </fill>
    <fill>
      <patternFill patternType="solid">
        <fgColor rgb="FF1A3A5F"/>
        <bgColor rgb="FF1A3A5F"/>
      </patternFill>
    </fill>
    <fill>
      <patternFill patternType="solid">
        <fgColor rgb="FFF8FAFC"/>
        <bgColor rgb="FFF8FAFC"/>
      </patternFill>
    </fill>
    <fill>
      <patternFill patternType="solid">
        <fgColor rgb="FFD97706"/>
        <bgColor rgb="FFD97706"/>
      </patternFill>
    </fill>
    <fill>
      <patternFill patternType="solid">
        <fgColor rgb="FFFEF3C7"/>
        <bgColor rgb="FFFEF3C7"/>
      </patternFill>
    </fill>
    <fill>
      <patternFill patternType="solid">
        <fgColor rgb="FFE8F5E9"/>
        <bgColor rgb="FFE8F5E9"/>
      </patternFill>
    </fill>
    <fill>
      <patternFill patternType="solid">
        <fgColor rgb="FF2563EB"/>
        <bgColor rgb="FF2563EB"/>
      </patternFill>
    </fill>
    <fill>
      <patternFill patternType="solid">
        <fgColor rgb="FFDBEAFE"/>
        <bgColor rgb="FFDBEAFE"/>
      </patternFill>
    </fill>
    <fill>
      <patternFill patternType="solid">
        <fgColor rgb="FF7C3AED"/>
        <bgColor rgb="FF7C3AED"/>
      </patternFill>
    </fill>
    <fill>
      <patternFill patternType="solid">
        <fgColor rgb="FFEDE9FE"/>
        <bgColor rgb="FFEDE9FE"/>
      </patternFill>
    </fill>
    <fill>
      <patternFill patternType="solid">
        <fgColor rgb="FFEA580C"/>
        <bgColor rgb="FFEA580C"/>
      </patternFill>
    </fill>
    <fill>
      <patternFill patternType="solid">
        <fgColor rgb="FFFFF7ED"/>
        <bgColor rgb="FFFFF7ED"/>
      </patternFill>
    </fill>
    <fill>
      <patternFill patternType="solid">
        <fgColor rgb="FFCCFBF1"/>
        <bgColor rgb="FFCCFBF1"/>
      </patternFill>
    </fill>
    <fill>
      <patternFill patternType="solid">
        <fgColor rgb="FF059669"/>
        <bgColor rgb="FF059669"/>
      </patternFill>
    </fill>
    <fill>
      <patternFill patternType="solid">
        <fgColor rgb="FFD1FAE5"/>
        <bgColor rgb="FFD1FAE5"/>
      </patternFill>
    </fill>
    <fill>
      <patternFill patternType="solid">
        <fgColor rgb="FFDC2626"/>
        <bgColor rgb="FFDC2626"/>
      </patternFill>
    </fill>
    <fill>
      <patternFill patternType="solid">
        <fgColor rgb="FFFEE2E2"/>
        <bgColor rgb="FFFEE2E2"/>
      </patternFill>
    </fill>
    <fill>
      <patternFill patternType="solid">
        <fgColor rgb="FF6366F1"/>
        <bgColor rgb="FF6366F1"/>
      </patternFill>
    </fill>
    <fill>
      <patternFill patternType="solid">
        <fgColor rgb="FFE0E7FF"/>
        <bgColor rgb="FFE0E7FF"/>
      </patternFill>
    </fill>
    <fill>
      <patternFill patternType="solid">
        <fgColor rgb="FF0891B2"/>
        <bgColor rgb="FF0891B2"/>
      </patternFill>
    </fill>
    <fill>
      <patternFill patternType="solid">
        <fgColor rgb="FFCFFAFE"/>
        <bgColor rgb="FFCFFAFE"/>
      </patternFill>
    </fill>
    <fill>
      <patternFill patternType="solid">
        <fgColor rgb="FF92400E"/>
        <bgColor rgb="FF92400E"/>
      </patternFill>
    </fill>
  </fills>
  <borders count="11">
    <border>
      <left/>
      <right/>
      <top/>
      <bottom/>
      <diagonal/>
    </border>
    <border>
      <left/>
      <right/>
      <top/>
      <bottom style="medium">
        <color rgb="FF1A6B66"/>
      </bottom>
      <diagonal/>
    </border>
    <border>
      <left style="thin">
        <color rgb="FFEEEEE8"/>
      </left>
      <right style="thin">
        <color rgb="FFEEEEE8"/>
      </right>
      <top style="thin">
        <color rgb="FFEEEEE8"/>
      </top>
      <bottom style="thin">
        <color rgb="FFEEEEE8"/>
      </bottom>
      <diagonal/>
    </border>
    <border>
      <left style="thin">
        <color rgb="FFDDDDD5"/>
      </left>
      <right style="thin">
        <color rgb="FFDDDDD5"/>
      </right>
      <top style="thin">
        <color rgb="FFDDDDD5"/>
      </top>
      <bottom style="thin">
        <color rgb="FFDDDDD5"/>
      </bottom>
      <diagonal/>
    </border>
    <border>
      <left style="thin">
        <color rgb="FFEEEEE8"/>
      </left>
      <right/>
      <top style="thin">
        <color rgb="FFEEEEE8"/>
      </top>
      <bottom style="thin">
        <color rgb="FFEEEEE8"/>
      </bottom>
      <diagonal/>
    </border>
    <border>
      <left style="thin">
        <color rgb="FFEEEEE8"/>
      </left>
      <right/>
      <top/>
      <bottom/>
      <diagonal/>
    </border>
    <border>
      <left/>
      <right style="thin">
        <color rgb="FFDDDDD5"/>
      </right>
      <top/>
      <bottom/>
      <diagonal/>
    </border>
    <border>
      <left/>
      <right/>
      <top style="thin">
        <color rgb="FFEEEEE8"/>
      </top>
      <bottom/>
      <diagonal/>
    </border>
    <border>
      <left/>
      <right/>
      <top style="thin">
        <color rgb="FFEEEEE8"/>
      </top>
      <bottom style="thin">
        <color rgb="FFEEEEE8"/>
      </bottom>
      <diagonal/>
    </border>
    <border>
      <left style="thin">
        <color rgb="FFDDDDD5"/>
      </left>
      <right style="thin">
        <color rgb="FFDDDDD5"/>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62">
    <xf numFmtId="0" fontId="0" fillId="0" borderId="0" xfId="0"/>
    <xf numFmtId="0" fontId="0" fillId="2" borderId="0" xfId="0" applyFill="1"/>
    <xf numFmtId="0" fontId="0" fillId="0" borderId="1" xfId="0" applyBorder="1"/>
    <xf numFmtId="0" fontId="10" fillId="0" borderId="0" xfId="0" applyFont="1" applyAlignment="1">
      <alignment vertical="center" wrapText="1"/>
    </xf>
    <xf numFmtId="0" fontId="16" fillId="0" borderId="3" xfId="0" applyFont="1" applyBorder="1" applyAlignment="1">
      <alignment vertical="center" wrapText="1"/>
    </xf>
    <xf numFmtId="0" fontId="15" fillId="0" borderId="0" xfId="0" applyFont="1" applyAlignment="1">
      <alignment vertical="center" wrapText="1"/>
    </xf>
    <xf numFmtId="0" fontId="11" fillId="11" borderId="0" xfId="0" applyFont="1" applyFill="1" applyAlignment="1">
      <alignment horizontal="center" vertical="center"/>
    </xf>
    <xf numFmtId="0" fontId="11" fillId="11" borderId="0" xfId="0" applyFont="1" applyFill="1"/>
    <xf numFmtId="0" fontId="11" fillId="11" borderId="2" xfId="0" applyFont="1" applyFill="1" applyBorder="1" applyAlignment="1">
      <alignment horizontal="center" vertical="center" wrapText="1"/>
    </xf>
    <xf numFmtId="0" fontId="15" fillId="0" borderId="0" xfId="0" applyFont="1"/>
    <xf numFmtId="0" fontId="17" fillId="0" borderId="2" xfId="0" applyFont="1" applyBorder="1" applyAlignment="1">
      <alignment horizontal="center" vertical="center" wrapText="1"/>
    </xf>
    <xf numFmtId="0" fontId="0" fillId="4" borderId="0" xfId="0" applyFill="1"/>
    <xf numFmtId="0" fontId="18" fillId="0" borderId="3" xfId="0" applyFont="1" applyBorder="1" applyAlignment="1">
      <alignment horizontal="center" vertical="center" wrapText="1"/>
    </xf>
    <xf numFmtId="0" fontId="5" fillId="0" borderId="3" xfId="0" applyFont="1" applyBorder="1" applyAlignment="1">
      <alignment horizontal="center" vertical="center" wrapText="1"/>
    </xf>
    <xf numFmtId="9" fontId="5" fillId="0" borderId="3" xfId="0" applyNumberFormat="1" applyFont="1" applyBorder="1" applyAlignment="1">
      <alignment horizontal="center" vertical="center" wrapText="1"/>
    </xf>
    <xf numFmtId="0" fontId="19" fillId="7" borderId="3" xfId="0" applyFont="1" applyFill="1" applyBorder="1" applyAlignment="1">
      <alignment horizontal="center" vertical="center" wrapText="1"/>
    </xf>
    <xf numFmtId="0" fontId="0" fillId="0" borderId="3" xfId="0" applyBorder="1"/>
    <xf numFmtId="0" fontId="7" fillId="0" borderId="3" xfId="0" applyFont="1" applyBorder="1"/>
    <xf numFmtId="2" fontId="20" fillId="7" borderId="3" xfId="0" applyNumberFormat="1" applyFont="1" applyFill="1" applyBorder="1" applyAlignment="1">
      <alignment horizontal="center" vertical="center"/>
    </xf>
    <xf numFmtId="0" fontId="0" fillId="5" borderId="0" xfId="0" applyFill="1"/>
    <xf numFmtId="0" fontId="8" fillId="0" borderId="3" xfId="0" applyFont="1" applyBorder="1"/>
    <xf numFmtId="2" fontId="22" fillId="8" borderId="3" xfId="0" applyNumberFormat="1" applyFont="1" applyFill="1" applyBorder="1" applyAlignment="1">
      <alignment horizontal="center" vertical="center"/>
    </xf>
    <xf numFmtId="0" fontId="0" fillId="11" borderId="0" xfId="0" applyFill="1"/>
    <xf numFmtId="0" fontId="4" fillId="0" borderId="3" xfId="0" applyFont="1" applyBorder="1"/>
    <xf numFmtId="2" fontId="2" fillId="12" borderId="3" xfId="0" applyNumberFormat="1" applyFont="1" applyFill="1" applyBorder="1" applyAlignment="1">
      <alignment horizontal="center" vertical="center"/>
    </xf>
    <xf numFmtId="0" fontId="24" fillId="0" borderId="3" xfId="0" applyFont="1" applyBorder="1" applyAlignment="1">
      <alignment horizontal="center" vertical="center"/>
    </xf>
    <xf numFmtId="0" fontId="25" fillId="0" borderId="3" xfId="0" applyFont="1" applyBorder="1" applyAlignment="1">
      <alignment horizontal="center" vertical="center"/>
    </xf>
    <xf numFmtId="0" fontId="11" fillId="6" borderId="0" xfId="0" applyFont="1" applyFill="1" applyAlignment="1">
      <alignment horizontal="center" vertical="center"/>
    </xf>
    <xf numFmtId="0" fontId="11" fillId="6" borderId="0" xfId="0" applyFont="1" applyFill="1"/>
    <xf numFmtId="0" fontId="11" fillId="6"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8" fillId="0" borderId="3" xfId="0" applyFont="1" applyBorder="1" applyAlignment="1">
      <alignment horizontal="center" vertical="center"/>
    </xf>
    <xf numFmtId="0" fontId="4" fillId="0" borderId="3" xfId="0" applyFont="1" applyBorder="1" applyAlignment="1">
      <alignment vertical="center"/>
    </xf>
    <xf numFmtId="0" fontId="15" fillId="0" borderId="3" xfId="0" applyFont="1" applyBorder="1" applyAlignment="1">
      <alignment vertical="center" wrapText="1"/>
    </xf>
    <xf numFmtId="0" fontId="26" fillId="0" borderId="3" xfId="0" applyFont="1" applyBorder="1"/>
    <xf numFmtId="0" fontId="15" fillId="0" borderId="3" xfId="0" applyFont="1" applyBorder="1"/>
    <xf numFmtId="164" fontId="27" fillId="9" borderId="3" xfId="0" applyNumberFormat="1" applyFont="1" applyFill="1" applyBorder="1" applyAlignment="1">
      <alignment horizontal="center" vertical="center"/>
    </xf>
    <xf numFmtId="0" fontId="10" fillId="0" borderId="3" xfId="0" applyFont="1" applyBorder="1" applyAlignment="1">
      <alignment horizontal="center" vertical="center"/>
    </xf>
    <xf numFmtId="0" fontId="4" fillId="0" borderId="2" xfId="0" applyFont="1" applyBorder="1"/>
    <xf numFmtId="0" fontId="10" fillId="0" borderId="2" xfId="0" applyFont="1" applyBorder="1"/>
    <xf numFmtId="0" fontId="11" fillId="11" borderId="3"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5" fillId="3" borderId="3" xfId="0" applyFont="1" applyFill="1" applyBorder="1" applyAlignment="1">
      <alignment horizontal="left" vertical="center" wrapText="1"/>
    </xf>
    <xf numFmtId="2" fontId="5" fillId="3" borderId="3" xfId="0" applyNumberFormat="1" applyFont="1" applyFill="1" applyBorder="1" applyAlignment="1">
      <alignment horizontal="center" vertical="center" wrapText="1"/>
    </xf>
    <xf numFmtId="2" fontId="30" fillId="3"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5" fillId="10" borderId="3" xfId="0" applyFont="1" applyFill="1" applyBorder="1" applyAlignment="1">
      <alignment horizontal="left" vertical="center" wrapText="1"/>
    </xf>
    <xf numFmtId="2" fontId="5" fillId="10" borderId="3" xfId="0" applyNumberFormat="1" applyFont="1" applyFill="1" applyBorder="1" applyAlignment="1">
      <alignment horizontal="center" vertical="center" wrapText="1"/>
    </xf>
    <xf numFmtId="2" fontId="30" fillId="10" borderId="3" xfId="0" applyNumberFormat="1" applyFont="1" applyFill="1" applyBorder="1" applyAlignment="1">
      <alignment horizontal="center" vertical="center" wrapText="1"/>
    </xf>
    <xf numFmtId="0" fontId="5" fillId="10" borderId="3" xfId="0" applyFont="1" applyFill="1" applyBorder="1" applyAlignment="1">
      <alignment horizontal="center" vertical="center" wrapText="1"/>
    </xf>
    <xf numFmtId="0" fontId="24" fillId="10" borderId="3"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31" fillId="0" borderId="0" xfId="0" applyFont="1"/>
    <xf numFmtId="0" fontId="4" fillId="3" borderId="3" xfId="0" applyFont="1" applyFill="1" applyBorder="1" applyAlignment="1">
      <alignment vertical="center" wrapText="1"/>
    </xf>
    <xf numFmtId="0" fontId="10" fillId="12" borderId="3" xfId="0" applyFont="1" applyFill="1" applyBorder="1" applyAlignment="1">
      <alignment vertical="center" wrapText="1"/>
    </xf>
    <xf numFmtId="0" fontId="13" fillId="7" borderId="3" xfId="0" applyFont="1" applyFill="1" applyBorder="1" applyAlignment="1">
      <alignment vertical="center" wrapText="1"/>
    </xf>
    <xf numFmtId="165" fontId="13" fillId="7" borderId="3" xfId="0" applyNumberFormat="1" applyFont="1" applyFill="1" applyBorder="1" applyAlignment="1">
      <alignment vertical="center" wrapText="1"/>
    </xf>
    <xf numFmtId="165" fontId="10" fillId="12" borderId="3" xfId="0" applyNumberFormat="1" applyFont="1" applyFill="1" applyBorder="1" applyAlignment="1">
      <alignment vertical="center" wrapText="1"/>
    </xf>
    <xf numFmtId="0" fontId="30" fillId="3" borderId="3" xfId="0" applyFont="1" applyFill="1" applyBorder="1" applyAlignment="1">
      <alignment vertical="center" wrapText="1"/>
    </xf>
    <xf numFmtId="166" fontId="13" fillId="7" borderId="3" xfId="0" applyNumberFormat="1" applyFont="1" applyFill="1" applyBorder="1" applyAlignment="1">
      <alignment vertical="center" wrapText="1"/>
    </xf>
    <xf numFmtId="0" fontId="32" fillId="3" borderId="3" xfId="0" applyFont="1" applyFill="1" applyBorder="1" applyAlignment="1">
      <alignment vertical="center" wrapText="1"/>
    </xf>
    <xf numFmtId="2" fontId="10" fillId="12" borderId="3" xfId="0" applyNumberFormat="1" applyFont="1" applyFill="1" applyBorder="1" applyAlignment="1">
      <alignment vertical="center" wrapText="1"/>
    </xf>
    <xf numFmtId="0" fontId="26" fillId="3" borderId="3" xfId="0" applyFont="1" applyFill="1" applyBorder="1" applyAlignment="1">
      <alignment vertical="center" wrapText="1"/>
    </xf>
    <xf numFmtId="0" fontId="14" fillId="12" borderId="3" xfId="0" applyFont="1" applyFill="1" applyBorder="1" applyAlignment="1">
      <alignment vertical="center" wrapText="1"/>
    </xf>
    <xf numFmtId="0" fontId="34" fillId="15" borderId="0" xfId="0" applyFont="1" applyFill="1" applyAlignment="1">
      <alignment vertical="top" wrapText="1"/>
    </xf>
    <xf numFmtId="0" fontId="37" fillId="16" borderId="0" xfId="0" applyFont="1" applyFill="1" applyAlignment="1">
      <alignment vertical="center" wrapText="1"/>
    </xf>
    <xf numFmtId="0" fontId="38" fillId="17" borderId="0" xfId="0" applyFont="1" applyFill="1" applyAlignment="1">
      <alignment vertical="top"/>
    </xf>
    <xf numFmtId="0" fontId="39" fillId="17" borderId="0" xfId="0" applyFont="1" applyFill="1" applyAlignment="1">
      <alignment vertical="top" wrapText="1"/>
    </xf>
    <xf numFmtId="0" fontId="40" fillId="17" borderId="0" xfId="0" applyFont="1" applyFill="1" applyAlignment="1">
      <alignment vertical="top"/>
    </xf>
    <xf numFmtId="0" fontId="41" fillId="17" borderId="0" xfId="0" applyFont="1" applyFill="1" applyAlignment="1">
      <alignment vertical="top" wrapText="1"/>
    </xf>
    <xf numFmtId="0" fontId="38" fillId="15" borderId="0" xfId="0" applyFont="1" applyFill="1" applyAlignment="1">
      <alignment vertical="top"/>
    </xf>
    <xf numFmtId="0" fontId="39" fillId="15" borderId="0" xfId="0" applyFont="1" applyFill="1" applyAlignment="1">
      <alignment vertical="top" wrapText="1"/>
    </xf>
    <xf numFmtId="0" fontId="40" fillId="15" borderId="0" xfId="0" applyFont="1" applyFill="1" applyAlignment="1">
      <alignment vertical="top"/>
    </xf>
    <xf numFmtId="0" fontId="41" fillId="15" borderId="0" xfId="0" applyFont="1" applyFill="1" applyAlignment="1">
      <alignment vertical="top" wrapText="1"/>
    </xf>
    <xf numFmtId="0" fontId="0" fillId="18" borderId="0" xfId="0" applyFill="1"/>
    <xf numFmtId="0" fontId="0" fillId="19" borderId="0" xfId="0" applyFill="1"/>
    <xf numFmtId="0" fontId="0" fillId="16" borderId="0" xfId="0" applyFill="1"/>
    <xf numFmtId="0" fontId="47" fillId="21" borderId="2" xfId="0" applyFont="1" applyFill="1" applyBorder="1" applyAlignment="1">
      <alignment horizontal="center" vertical="center"/>
    </xf>
    <xf numFmtId="0" fontId="50" fillId="0" borderId="0" xfId="0" applyFont="1" applyAlignment="1">
      <alignment vertical="top"/>
    </xf>
    <xf numFmtId="0" fontId="36" fillId="23" borderId="2" xfId="0" applyFont="1" applyFill="1" applyBorder="1" applyAlignment="1">
      <alignment vertical="top" wrapText="1"/>
    </xf>
    <xf numFmtId="0" fontId="0" fillId="23" borderId="0" xfId="0" applyFill="1"/>
    <xf numFmtId="0" fontId="50" fillId="13" borderId="2" xfId="0" applyFont="1" applyFill="1" applyBorder="1" applyAlignment="1">
      <alignment vertical="top"/>
    </xf>
    <xf numFmtId="0" fontId="47" fillId="24" borderId="2" xfId="0" applyFont="1" applyFill="1" applyBorder="1" applyAlignment="1">
      <alignment horizontal="center" vertical="center"/>
    </xf>
    <xf numFmtId="0" fontId="55" fillId="0" borderId="0" xfId="0" applyFont="1" applyAlignment="1">
      <alignment vertical="top"/>
    </xf>
    <xf numFmtId="0" fontId="55" fillId="13" borderId="2" xfId="0" applyFont="1" applyFill="1" applyBorder="1" applyAlignment="1">
      <alignment vertical="top"/>
    </xf>
    <xf numFmtId="0" fontId="47" fillId="26" borderId="2" xfId="0" applyFont="1" applyFill="1" applyBorder="1" applyAlignment="1">
      <alignment horizontal="center" vertical="center"/>
    </xf>
    <xf numFmtId="0" fontId="57" fillId="0" borderId="0" xfId="0" applyFont="1" applyAlignment="1">
      <alignment vertical="top"/>
    </xf>
    <xf numFmtId="0" fontId="57" fillId="13" borderId="2" xfId="0" applyFont="1" applyFill="1" applyBorder="1" applyAlignment="1">
      <alignment vertical="top"/>
    </xf>
    <xf numFmtId="0" fontId="47" fillId="28" borderId="2" xfId="0" applyFont="1" applyFill="1" applyBorder="1" applyAlignment="1">
      <alignment horizontal="center" vertical="center"/>
    </xf>
    <xf numFmtId="0" fontId="59" fillId="0" borderId="0" xfId="0" applyFont="1" applyAlignment="1">
      <alignment vertical="top"/>
    </xf>
    <xf numFmtId="0" fontId="59" fillId="13" borderId="2" xfId="0" applyFont="1" applyFill="1" applyBorder="1" applyAlignment="1">
      <alignment vertical="top"/>
    </xf>
    <xf numFmtId="0" fontId="47" fillId="16" borderId="2" xfId="0" applyFont="1" applyFill="1" applyBorder="1" applyAlignment="1">
      <alignment horizontal="center" vertical="center"/>
    </xf>
    <xf numFmtId="0" fontId="34" fillId="0" borderId="0" xfId="0" applyFont="1" applyAlignment="1">
      <alignment vertical="top"/>
    </xf>
    <xf numFmtId="0" fontId="34" fillId="13" borderId="2" xfId="0" applyFont="1" applyFill="1" applyBorder="1" applyAlignment="1">
      <alignment vertical="top"/>
    </xf>
    <xf numFmtId="0" fontId="47" fillId="31" borderId="2" xfId="0" applyFont="1" applyFill="1" applyBorder="1" applyAlignment="1">
      <alignment horizontal="center" vertical="center"/>
    </xf>
    <xf numFmtId="0" fontId="62" fillId="0" borderId="0" xfId="0" applyFont="1" applyAlignment="1">
      <alignment vertical="top"/>
    </xf>
    <xf numFmtId="0" fontId="62" fillId="13" borderId="2" xfId="0" applyFont="1" applyFill="1" applyBorder="1" applyAlignment="1">
      <alignment vertical="top"/>
    </xf>
    <xf numFmtId="0" fontId="47" fillId="33" borderId="2" xfId="0" applyFont="1" applyFill="1" applyBorder="1" applyAlignment="1">
      <alignment horizontal="center" vertical="center"/>
    </xf>
    <xf numFmtId="0" fontId="64" fillId="0" borderId="0" xfId="0" applyFont="1" applyAlignment="1">
      <alignment vertical="top"/>
    </xf>
    <xf numFmtId="0" fontId="64" fillId="13" borderId="2" xfId="0" applyFont="1" applyFill="1" applyBorder="1" applyAlignment="1">
      <alignment vertical="top"/>
    </xf>
    <xf numFmtId="0" fontId="47" fillId="35" borderId="2" xfId="0" applyFont="1" applyFill="1" applyBorder="1" applyAlignment="1">
      <alignment horizontal="center" vertical="center"/>
    </xf>
    <xf numFmtId="0" fontId="66" fillId="0" borderId="0" xfId="0" applyFont="1" applyAlignment="1">
      <alignment vertical="top"/>
    </xf>
    <xf numFmtId="0" fontId="66" fillId="13" borderId="2" xfId="0" applyFont="1" applyFill="1" applyBorder="1" applyAlignment="1">
      <alignment vertical="top"/>
    </xf>
    <xf numFmtId="0" fontId="47" fillId="37" borderId="2" xfId="0" applyFont="1" applyFill="1" applyBorder="1" applyAlignment="1">
      <alignment horizontal="center" vertical="center"/>
    </xf>
    <xf numFmtId="0" fontId="68" fillId="0" borderId="0" xfId="0" applyFont="1" applyAlignment="1">
      <alignment vertical="top"/>
    </xf>
    <xf numFmtId="0" fontId="68" fillId="13" borderId="2" xfId="0" applyFont="1" applyFill="1" applyBorder="1" applyAlignment="1">
      <alignment vertical="top"/>
    </xf>
    <xf numFmtId="0" fontId="47" fillId="39" borderId="2" xfId="0" applyFont="1" applyFill="1" applyBorder="1" applyAlignment="1">
      <alignment horizontal="center" vertical="center"/>
    </xf>
    <xf numFmtId="0" fontId="70" fillId="0" borderId="0" xfId="0" applyFont="1" applyAlignment="1">
      <alignment vertical="top"/>
    </xf>
    <xf numFmtId="0" fontId="70" fillId="13" borderId="2" xfId="0" applyFont="1" applyFill="1" applyBorder="1" applyAlignment="1">
      <alignment vertical="top"/>
    </xf>
    <xf numFmtId="0" fontId="37" fillId="16" borderId="2" xfId="0" applyFont="1" applyFill="1" applyBorder="1" applyAlignment="1">
      <alignment vertical="center"/>
    </xf>
    <xf numFmtId="0" fontId="37" fillId="16" borderId="3" xfId="0" applyFont="1" applyFill="1" applyBorder="1" applyAlignment="1">
      <alignment vertical="center"/>
    </xf>
    <xf numFmtId="0" fontId="34" fillId="20" borderId="10" xfId="0" applyFont="1" applyFill="1" applyBorder="1" applyAlignment="1">
      <alignment horizontal="center" vertical="center"/>
    </xf>
    <xf numFmtId="0" fontId="72" fillId="20" borderId="10" xfId="0" applyFont="1" applyFill="1" applyBorder="1" applyAlignment="1">
      <alignment vertical="top" wrapText="1"/>
    </xf>
    <xf numFmtId="0" fontId="34" fillId="17" borderId="10" xfId="0" applyFont="1" applyFill="1" applyBorder="1" applyAlignment="1">
      <alignment horizontal="center" vertical="center"/>
    </xf>
    <xf numFmtId="0" fontId="72" fillId="17" borderId="10" xfId="0" applyFont="1" applyFill="1" applyBorder="1" applyAlignment="1">
      <alignment vertical="top" wrapText="1"/>
    </xf>
    <xf numFmtId="0" fontId="73" fillId="0" borderId="0" xfId="0" applyFont="1" applyAlignment="1">
      <alignment vertical="center" wrapText="1"/>
    </xf>
    <xf numFmtId="0" fontId="46" fillId="18" borderId="0" xfId="0" applyFont="1" applyFill="1"/>
    <xf numFmtId="0" fontId="0" fillId="26" borderId="0" xfId="0" applyFill="1"/>
    <xf numFmtId="0" fontId="45" fillId="0" borderId="1" xfId="0" applyFont="1" applyBorder="1" applyAlignment="1">
      <alignment vertical="center" wrapText="1"/>
    </xf>
    <xf numFmtId="0" fontId="48" fillId="22" borderId="2" xfId="0" applyFont="1" applyFill="1" applyBorder="1" applyAlignment="1">
      <alignment vertical="center" wrapText="1"/>
    </xf>
    <xf numFmtId="0" fontId="48" fillId="25" borderId="2" xfId="0" applyFont="1" applyFill="1" applyBorder="1" applyAlignment="1">
      <alignment vertical="center" wrapText="1"/>
    </xf>
    <xf numFmtId="0" fontId="48" fillId="27" borderId="2" xfId="0" applyFont="1" applyFill="1" applyBorder="1" applyAlignment="1">
      <alignment vertical="center" wrapText="1"/>
    </xf>
    <xf numFmtId="0" fontId="48" fillId="29" borderId="2" xfId="0" applyFont="1" applyFill="1" applyBorder="1" applyAlignment="1">
      <alignment vertical="center" wrapText="1"/>
    </xf>
    <xf numFmtId="0" fontId="48" fillId="30" borderId="2" xfId="0" applyFont="1" applyFill="1" applyBorder="1" applyAlignment="1">
      <alignment vertical="center" wrapText="1"/>
    </xf>
    <xf numFmtId="0" fontId="48" fillId="32" borderId="2" xfId="0" applyFont="1" applyFill="1" applyBorder="1" applyAlignment="1">
      <alignment vertical="center" wrapText="1"/>
    </xf>
    <xf numFmtId="0" fontId="48" fillId="34" borderId="2" xfId="0" applyFont="1" applyFill="1" applyBorder="1" applyAlignment="1">
      <alignment vertical="center" wrapText="1"/>
    </xf>
    <xf numFmtId="0" fontId="48" fillId="36" borderId="2" xfId="0" applyFont="1" applyFill="1" applyBorder="1" applyAlignment="1">
      <alignment vertical="center" wrapText="1"/>
    </xf>
    <xf numFmtId="0" fontId="48" fillId="38" borderId="2" xfId="0" applyFont="1" applyFill="1" applyBorder="1" applyAlignment="1">
      <alignment vertical="center" wrapText="1"/>
    </xf>
    <xf numFmtId="0" fontId="88" fillId="0" borderId="0" xfId="0" applyFont="1" applyAlignment="1">
      <alignment wrapText="1"/>
    </xf>
    <xf numFmtId="0" fontId="0" fillId="2" borderId="0" xfId="0" applyFill="1" applyAlignment="1">
      <alignment vertical="top"/>
    </xf>
    <xf numFmtId="0" fontId="0" fillId="0" borderId="0" xfId="0" applyAlignment="1">
      <alignment vertical="top"/>
    </xf>
    <xf numFmtId="0" fontId="0" fillId="18" borderId="0" xfId="0" applyFill="1" applyAlignment="1">
      <alignment vertical="top"/>
    </xf>
    <xf numFmtId="0" fontId="0" fillId="19" borderId="0" xfId="0" applyFill="1" applyAlignment="1">
      <alignment vertical="top"/>
    </xf>
    <xf numFmtId="0" fontId="77" fillId="0" borderId="1" xfId="0" applyFont="1" applyBorder="1" applyAlignment="1">
      <alignment vertical="top" wrapText="1"/>
    </xf>
    <xf numFmtId="0" fontId="0" fillId="0" borderId="1" xfId="0" applyBorder="1" applyAlignment="1">
      <alignment vertical="top"/>
    </xf>
    <xf numFmtId="0" fontId="79" fillId="3" borderId="2" xfId="0" applyFont="1" applyFill="1" applyBorder="1" applyAlignment="1">
      <alignment vertical="top" wrapText="1"/>
    </xf>
    <xf numFmtId="0" fontId="80" fillId="3" borderId="2" xfId="0" applyFont="1" applyFill="1" applyBorder="1" applyAlignment="1">
      <alignment vertical="top" wrapText="1"/>
    </xf>
    <xf numFmtId="0" fontId="81" fillId="3" borderId="2" xfId="0" applyFont="1" applyFill="1" applyBorder="1" applyAlignment="1">
      <alignment vertical="top" wrapText="1"/>
    </xf>
    <xf numFmtId="0" fontId="82" fillId="3" borderId="2" xfId="0" applyFont="1" applyFill="1" applyBorder="1" applyAlignment="1">
      <alignment vertical="top" wrapText="1"/>
    </xf>
    <xf numFmtId="0" fontId="83" fillId="3" borderId="2" xfId="0" applyFont="1" applyFill="1" applyBorder="1" applyAlignment="1">
      <alignment vertical="top" wrapText="1"/>
    </xf>
    <xf numFmtId="0" fontId="6" fillId="4" borderId="2" xfId="0" applyFont="1" applyFill="1" applyBorder="1" applyAlignment="1">
      <alignment vertical="top" wrapText="1"/>
    </xf>
    <xf numFmtId="0" fontId="6" fillId="5" borderId="2" xfId="0" applyFont="1" applyFill="1" applyBorder="1" applyAlignment="1">
      <alignment vertical="top" wrapText="1"/>
    </xf>
    <xf numFmtId="0" fontId="6" fillId="6" borderId="2" xfId="0" applyFont="1" applyFill="1" applyBorder="1" applyAlignment="1">
      <alignment vertical="top" wrapText="1"/>
    </xf>
    <xf numFmtId="0" fontId="7" fillId="7" borderId="2" xfId="0" applyFont="1" applyFill="1" applyBorder="1" applyAlignment="1">
      <alignment vertical="top" wrapText="1"/>
    </xf>
    <xf numFmtId="0" fontId="8" fillId="8" borderId="2" xfId="0" applyFont="1" applyFill="1" applyBorder="1" applyAlignment="1">
      <alignment vertical="top" wrapText="1"/>
    </xf>
    <xf numFmtId="0" fontId="9" fillId="9" borderId="2" xfId="0" applyFont="1" applyFill="1" applyBorder="1" applyAlignment="1">
      <alignment vertical="top" wrapText="1"/>
    </xf>
    <xf numFmtId="0" fontId="10" fillId="0" borderId="0" xfId="0" applyFont="1" applyAlignment="1">
      <alignment vertical="top" wrapText="1"/>
    </xf>
    <xf numFmtId="0" fontId="2" fillId="0" borderId="1" xfId="0" applyFont="1" applyBorder="1" applyAlignment="1">
      <alignment vertical="top" wrapText="1"/>
    </xf>
    <xf numFmtId="0" fontId="11" fillId="4" borderId="2" xfId="0" applyFont="1" applyFill="1" applyBorder="1" applyAlignment="1">
      <alignment vertical="top" wrapText="1"/>
    </xf>
    <xf numFmtId="0" fontId="33" fillId="7" borderId="2" xfId="0" applyFont="1" applyFill="1" applyBorder="1" applyAlignment="1">
      <alignment vertical="top" wrapText="1"/>
    </xf>
    <xf numFmtId="0" fontId="5" fillId="7" borderId="2" xfId="0" applyFont="1" applyFill="1" applyBorder="1" applyAlignment="1">
      <alignment vertical="top" wrapText="1"/>
    </xf>
    <xf numFmtId="0" fontId="12" fillId="7" borderId="3" xfId="0" applyFont="1" applyFill="1" applyBorder="1" applyAlignment="1">
      <alignment vertical="top" wrapText="1"/>
    </xf>
    <xf numFmtId="0" fontId="4" fillId="7" borderId="2" xfId="0" applyFont="1" applyFill="1" applyBorder="1" applyAlignment="1">
      <alignment vertical="top" wrapText="1"/>
    </xf>
    <xf numFmtId="0" fontId="11" fillId="5" borderId="2" xfId="0" applyFont="1" applyFill="1" applyBorder="1" applyAlignment="1">
      <alignment vertical="top" wrapText="1"/>
    </xf>
    <xf numFmtId="0" fontId="4" fillId="8" borderId="2" xfId="0" applyFont="1" applyFill="1" applyBorder="1" applyAlignment="1">
      <alignment vertical="top" wrapText="1"/>
    </xf>
    <xf numFmtId="0" fontId="5" fillId="8" borderId="2" xfId="0" applyFont="1" applyFill="1" applyBorder="1" applyAlignment="1">
      <alignment vertical="top" wrapText="1"/>
    </xf>
    <xf numFmtId="0" fontId="12" fillId="8" borderId="3" xfId="0" applyFont="1" applyFill="1" applyBorder="1" applyAlignment="1">
      <alignment vertical="top" wrapText="1"/>
    </xf>
    <xf numFmtId="0" fontId="11" fillId="6" borderId="2" xfId="0" applyFont="1" applyFill="1" applyBorder="1" applyAlignment="1">
      <alignment vertical="top" wrapText="1"/>
    </xf>
    <xf numFmtId="0" fontId="4" fillId="9" borderId="2" xfId="0" applyFont="1" applyFill="1" applyBorder="1" applyAlignment="1">
      <alignment vertical="top" wrapText="1"/>
    </xf>
    <xf numFmtId="0" fontId="5" fillId="9" borderId="2" xfId="0" applyFont="1" applyFill="1" applyBorder="1" applyAlignment="1">
      <alignment vertical="top" wrapText="1"/>
    </xf>
    <xf numFmtId="0" fontId="12" fillId="9" borderId="3" xfId="0" applyFont="1" applyFill="1" applyBorder="1" applyAlignment="1">
      <alignment vertical="top" wrapText="1"/>
    </xf>
    <xf numFmtId="0" fontId="13" fillId="7" borderId="2" xfId="0" applyFont="1" applyFill="1" applyBorder="1" applyAlignment="1">
      <alignment vertical="top" wrapText="1"/>
    </xf>
    <xf numFmtId="0" fontId="5" fillId="0" borderId="2" xfId="0" applyFont="1" applyBorder="1" applyAlignment="1">
      <alignment vertical="top" wrapText="1"/>
    </xf>
    <xf numFmtId="0" fontId="14" fillId="10" borderId="2" xfId="0" applyFont="1" applyFill="1" applyBorder="1" applyAlignment="1">
      <alignment vertical="top" wrapText="1"/>
    </xf>
    <xf numFmtId="0" fontId="15" fillId="10" borderId="2" xfId="0" applyFont="1" applyFill="1" applyBorder="1" applyAlignment="1">
      <alignment vertical="top" wrapText="1"/>
    </xf>
    <xf numFmtId="0" fontId="51" fillId="0" borderId="0" xfId="0" applyFont="1" applyAlignment="1">
      <alignment vertical="top" wrapText="1"/>
    </xf>
    <xf numFmtId="0" fontId="0" fillId="0" borderId="0" xfId="0"/>
    <xf numFmtId="0" fontId="36" fillId="23" borderId="5" xfId="0" applyFont="1" applyFill="1" applyBorder="1" applyAlignment="1">
      <alignment vertical="top" wrapText="1"/>
    </xf>
    <xf numFmtId="0" fontId="0" fillId="23" borderId="0" xfId="0" applyFill="1"/>
    <xf numFmtId="0" fontId="49" fillId="0" borderId="0" xfId="0" applyFont="1" applyAlignment="1">
      <alignment vertical="center" wrapText="1"/>
    </xf>
    <xf numFmtId="0" fontId="56" fillId="0" borderId="0" xfId="0" applyFont="1" applyAlignment="1">
      <alignment vertical="top" wrapText="1"/>
    </xf>
    <xf numFmtId="0" fontId="53" fillId="13" borderId="5" xfId="0" applyFont="1" applyFill="1" applyBorder="1" applyAlignment="1">
      <alignment vertical="top" wrapText="1"/>
    </xf>
    <xf numFmtId="0" fontId="54" fillId="0" borderId="0" xfId="0" applyFont="1" applyAlignment="1">
      <alignment vertical="top" wrapText="1"/>
    </xf>
    <xf numFmtId="0" fontId="61" fillId="0" borderId="0" xfId="0" applyFont="1" applyAlignment="1">
      <alignment vertical="top" wrapText="1"/>
    </xf>
    <xf numFmtId="0" fontId="49" fillId="36" borderId="5" xfId="0" applyFont="1" applyFill="1" applyBorder="1" applyAlignment="1">
      <alignment vertical="top" wrapText="1"/>
    </xf>
    <xf numFmtId="0" fontId="0" fillId="0" borderId="6" xfId="0" applyBorder="1" applyAlignment="1">
      <alignment wrapText="1"/>
    </xf>
    <xf numFmtId="0" fontId="35" fillId="15" borderId="0" xfId="0" applyFont="1" applyFill="1" applyAlignment="1">
      <alignment vertical="top" wrapText="1"/>
    </xf>
    <xf numFmtId="0" fontId="0" fillId="0" borderId="0" xfId="0" applyAlignment="1">
      <alignment wrapText="1"/>
    </xf>
    <xf numFmtId="0" fontId="49" fillId="38" borderId="5" xfId="0" applyFont="1" applyFill="1" applyBorder="1" applyAlignment="1">
      <alignment vertical="top" wrapText="1"/>
    </xf>
    <xf numFmtId="0" fontId="67" fillId="0" borderId="0" xfId="0" applyFont="1" applyAlignment="1">
      <alignment vertical="top" wrapText="1"/>
    </xf>
    <xf numFmtId="0" fontId="58" fillId="0" borderId="0" xfId="0" applyFont="1" applyAlignment="1">
      <alignment vertical="top" wrapText="1"/>
    </xf>
    <xf numFmtId="0" fontId="34" fillId="0" borderId="0" xfId="0" applyFont="1" applyAlignment="1">
      <alignment vertical="center" wrapText="1"/>
    </xf>
    <xf numFmtId="0" fontId="45" fillId="20" borderId="0" xfId="0" applyFont="1" applyFill="1" applyAlignment="1">
      <alignment vertical="center" wrapText="1"/>
    </xf>
    <xf numFmtId="0" fontId="0" fillId="20" borderId="0" xfId="0" applyFill="1"/>
    <xf numFmtId="0" fontId="36" fillId="0" borderId="0" xfId="0" applyFont="1" applyAlignment="1">
      <alignment vertical="top" wrapText="1"/>
    </xf>
    <xf numFmtId="0" fontId="46" fillId="16" borderId="0" xfId="0" applyFont="1" applyFill="1" applyAlignment="1">
      <alignment vertical="center"/>
    </xf>
    <xf numFmtId="0" fontId="0" fillId="16" borderId="0" xfId="0" applyFill="1"/>
    <xf numFmtId="0" fontId="46" fillId="18" borderId="0" xfId="0" applyFont="1" applyFill="1" applyAlignment="1">
      <alignment vertical="center" wrapText="1"/>
    </xf>
    <xf numFmtId="0" fontId="0" fillId="18" borderId="0" xfId="0" applyFill="1"/>
    <xf numFmtId="0" fontId="65" fillId="0" borderId="0" xfId="0" applyFont="1" applyAlignment="1">
      <alignment vertical="top" wrapText="1"/>
    </xf>
    <xf numFmtId="0" fontId="63" fillId="0" borderId="0" xfId="0" applyFont="1" applyAlignment="1">
      <alignment vertical="top" wrapText="1"/>
    </xf>
    <xf numFmtId="0" fontId="42" fillId="18" borderId="0" xfId="0" applyFont="1" applyFill="1" applyAlignment="1">
      <alignment vertical="center"/>
    </xf>
    <xf numFmtId="0" fontId="43" fillId="19" borderId="0" xfId="0" applyFont="1" applyFill="1" applyAlignment="1">
      <alignment vertical="center" wrapText="1"/>
    </xf>
    <xf numFmtId="0" fontId="0" fillId="19" borderId="0" xfId="0" applyFill="1"/>
    <xf numFmtId="0" fontId="86" fillId="20" borderId="0" xfId="0" applyFont="1" applyFill="1" applyAlignment="1">
      <alignment vertical="top" wrapText="1"/>
    </xf>
    <xf numFmtId="0" fontId="44" fillId="19" borderId="0" xfId="0" applyFont="1" applyFill="1" applyAlignment="1">
      <alignment vertical="center" wrapText="1"/>
    </xf>
    <xf numFmtId="0" fontId="52" fillId="0" borderId="0" xfId="0" applyFont="1" applyAlignment="1">
      <alignment vertical="top" wrapText="1"/>
    </xf>
    <xf numFmtId="0" fontId="49" fillId="34" borderId="5" xfId="0" applyFont="1" applyFill="1" applyBorder="1" applyAlignment="1">
      <alignment vertical="top" wrapText="1"/>
    </xf>
    <xf numFmtId="0" fontId="74" fillId="0" borderId="0" xfId="0" applyFont="1" applyAlignment="1">
      <alignment wrapText="1"/>
    </xf>
    <xf numFmtId="0" fontId="60" fillId="0" borderId="0" xfId="0" applyFont="1" applyAlignment="1">
      <alignment vertical="top" wrapText="1"/>
    </xf>
    <xf numFmtId="0" fontId="69" fillId="0" borderId="0" xfId="0" applyFont="1" applyAlignment="1">
      <alignment vertical="top" wrapText="1"/>
    </xf>
    <xf numFmtId="0" fontId="49" fillId="22" borderId="5" xfId="0" applyFont="1" applyFill="1" applyBorder="1" applyAlignment="1">
      <alignment vertical="top" wrapText="1"/>
    </xf>
    <xf numFmtId="0" fontId="49" fillId="29" borderId="5" xfId="0" applyFont="1" applyFill="1" applyBorder="1" applyAlignment="1">
      <alignment vertical="top" wrapText="1"/>
    </xf>
    <xf numFmtId="0" fontId="49" fillId="30" borderId="5" xfId="0" applyFont="1" applyFill="1" applyBorder="1" applyAlignment="1">
      <alignment vertical="top" wrapText="1"/>
    </xf>
    <xf numFmtId="0" fontId="49" fillId="32" borderId="5" xfId="0" applyFont="1" applyFill="1" applyBorder="1" applyAlignment="1">
      <alignment vertical="top" wrapText="1"/>
    </xf>
    <xf numFmtId="0" fontId="34" fillId="0" borderId="0" xfId="0" applyFont="1" applyAlignment="1">
      <alignment wrapText="1"/>
    </xf>
    <xf numFmtId="0" fontId="36" fillId="0" borderId="0" xfId="0" applyFont="1" applyAlignment="1">
      <alignment wrapText="1"/>
    </xf>
    <xf numFmtId="0" fontId="87" fillId="15" borderId="0" xfId="0" applyFont="1" applyFill="1" applyAlignment="1">
      <alignment vertical="top" wrapText="1"/>
    </xf>
    <xf numFmtId="0" fontId="49" fillId="25" borderId="5" xfId="0" applyFont="1" applyFill="1" applyBorder="1" applyAlignment="1">
      <alignment vertical="top" wrapText="1"/>
    </xf>
    <xf numFmtId="0" fontId="49" fillId="27" borderId="5" xfId="0" applyFont="1" applyFill="1" applyBorder="1" applyAlignment="1">
      <alignment vertical="top" wrapText="1"/>
    </xf>
    <xf numFmtId="0" fontId="71" fillId="0" borderId="0" xfId="0" applyFont="1" applyAlignment="1">
      <alignment vertical="top" wrapText="1"/>
    </xf>
    <xf numFmtId="0" fontId="2" fillId="0" borderId="1" xfId="0" applyFont="1" applyBorder="1" applyAlignment="1">
      <alignment vertical="top" wrapText="1"/>
    </xf>
    <xf numFmtId="0" fontId="0" fillId="0" borderId="1" xfId="0" applyBorder="1" applyAlignment="1">
      <alignment vertical="top"/>
    </xf>
    <xf numFmtId="0" fontId="36" fillId="0" borderId="5" xfId="0" applyFont="1" applyBorder="1" applyAlignment="1">
      <alignment vertical="top" wrapText="1"/>
    </xf>
    <xf numFmtId="0" fontId="0" fillId="0" borderId="0" xfId="0" applyAlignment="1">
      <alignment vertical="top"/>
    </xf>
    <xf numFmtId="0" fontId="78" fillId="0" borderId="0" xfId="0" applyFont="1" applyAlignment="1">
      <alignment vertical="top" wrapText="1"/>
    </xf>
    <xf numFmtId="0" fontId="75" fillId="18" borderId="0" xfId="0" applyFont="1" applyFill="1" applyAlignment="1">
      <alignment vertical="top" wrapText="1"/>
    </xf>
    <xf numFmtId="0" fontId="0" fillId="18" borderId="0" xfId="0" applyFill="1" applyAlignment="1">
      <alignment vertical="top"/>
    </xf>
    <xf numFmtId="0" fontId="3" fillId="0" borderId="0" xfId="0" applyFont="1" applyAlignment="1">
      <alignment vertical="top" wrapText="1"/>
    </xf>
    <xf numFmtId="0" fontId="76" fillId="19" borderId="0" xfId="0" applyFont="1" applyFill="1" applyAlignment="1">
      <alignment vertical="top" wrapText="1"/>
    </xf>
    <xf numFmtId="0" fontId="0" fillId="19" borderId="0" xfId="0" applyFill="1" applyAlignment="1">
      <alignment vertical="top"/>
    </xf>
    <xf numFmtId="0" fontId="77" fillId="0" borderId="1" xfId="0" applyFont="1" applyBorder="1" applyAlignment="1">
      <alignment vertical="top" wrapText="1"/>
    </xf>
    <xf numFmtId="0" fontId="5" fillId="0" borderId="7" xfId="0" applyFont="1" applyBorder="1" applyAlignment="1">
      <alignment vertical="top" wrapText="1"/>
    </xf>
    <xf numFmtId="0" fontId="0" fillId="0" borderId="7" xfId="0" applyBorder="1" applyAlignment="1">
      <alignment vertical="top"/>
    </xf>
    <xf numFmtId="0" fontId="84" fillId="2" borderId="0" xfId="0" applyFont="1" applyFill="1"/>
    <xf numFmtId="0" fontId="42" fillId="18" borderId="0" xfId="0" applyFont="1" applyFill="1"/>
    <xf numFmtId="0" fontId="91" fillId="5" borderId="0" xfId="0" applyFont="1" applyFill="1"/>
    <xf numFmtId="0" fontId="92" fillId="0" borderId="0" xfId="0" applyFont="1" applyAlignment="1">
      <alignment vertical="top" wrapText="1"/>
    </xf>
    <xf numFmtId="0" fontId="91" fillId="4" borderId="0" xfId="0" applyFont="1" applyFill="1"/>
    <xf numFmtId="0" fontId="90" fillId="0" borderId="0" xfId="0" applyFont="1" applyAlignment="1">
      <alignment vertical="top" wrapText="1"/>
    </xf>
    <xf numFmtId="0" fontId="23" fillId="0" borderId="0" xfId="0" applyFont="1"/>
    <xf numFmtId="0" fontId="21" fillId="0" borderId="0" xfId="0" applyFont="1"/>
    <xf numFmtId="0" fontId="91" fillId="11" borderId="0" xfId="0" applyFont="1" applyFill="1"/>
    <xf numFmtId="0" fontId="10" fillId="12" borderId="0" xfId="0" applyFont="1" applyFill="1"/>
    <xf numFmtId="0" fontId="5" fillId="0" borderId="4" xfId="0" applyFont="1" applyBorder="1" applyAlignment="1">
      <alignment vertical="top" wrapText="1"/>
    </xf>
    <xf numFmtId="0" fontId="0" fillId="0" borderId="8" xfId="0" applyBorder="1"/>
    <xf numFmtId="0" fontId="9" fillId="9" borderId="0" xfId="0" applyFont="1" applyFill="1"/>
    <xf numFmtId="0" fontId="42" fillId="26" borderId="0" xfId="0" applyFont="1" applyFill="1"/>
    <xf numFmtId="0" fontId="0" fillId="26" borderId="0" xfId="0" applyFill="1"/>
    <xf numFmtId="0" fontId="28" fillId="0" borderId="0" xfId="0" applyFont="1" applyAlignment="1">
      <alignment vertical="top" wrapText="1"/>
    </xf>
    <xf numFmtId="0" fontId="2" fillId="0" borderId="1" xfId="0" applyFont="1" applyBorder="1"/>
    <xf numFmtId="0" fontId="0" fillId="0" borderId="1" xfId="0" applyBorder="1"/>
    <xf numFmtId="0" fontId="42" fillId="16" borderId="0" xfId="0" applyFont="1" applyFill="1"/>
    <xf numFmtId="0" fontId="4" fillId="8" borderId="4" xfId="0" applyFont="1" applyFill="1" applyBorder="1"/>
    <xf numFmtId="0" fontId="4" fillId="12" borderId="4" xfId="0" applyFont="1" applyFill="1" applyBorder="1"/>
    <xf numFmtId="0" fontId="4" fillId="14" borderId="4" xfId="0" applyFont="1" applyFill="1" applyBorder="1"/>
    <xf numFmtId="0" fontId="29" fillId="0" borderId="4" xfId="0" applyFont="1" applyBorder="1" applyAlignment="1">
      <alignment vertical="top" wrapText="1"/>
    </xf>
    <xf numFmtId="0" fontId="1" fillId="2" borderId="0" xfId="0" applyFont="1" applyFill="1"/>
    <xf numFmtId="0" fontId="4" fillId="3" borderId="4" xfId="0" applyFont="1" applyFill="1" applyBorder="1"/>
    <xf numFmtId="0" fontId="42" fillId="18" borderId="0" xfId="0" applyFont="1" applyFill="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0" fillId="0" borderId="9" xfId="0" applyBorder="1" applyAlignment="1">
      <alignment wrapText="1"/>
    </xf>
    <xf numFmtId="0" fontId="0" fillId="0" borderId="6" xfId="0" applyBorder="1"/>
    <xf numFmtId="0" fontId="45" fillId="0" borderId="1" xfId="0" applyFont="1" applyBorder="1" applyAlignment="1">
      <alignment vertical="center" wrapText="1"/>
    </xf>
    <xf numFmtId="0" fontId="45" fillId="0" borderId="0" xfId="0" applyFont="1" applyAlignment="1">
      <alignment vertical="center" wrapText="1"/>
    </xf>
    <xf numFmtId="0" fontId="15" fillId="0" borderId="0" xfId="0" applyFont="1" applyAlignment="1">
      <alignment vertical="center" wrapText="1"/>
    </xf>
    <xf numFmtId="0" fontId="1" fillId="2" borderId="0" xfId="0" applyFont="1" applyFill="1" applyAlignment="1">
      <alignment vertical="center" wrapText="1"/>
    </xf>
    <xf numFmtId="0" fontId="93" fillId="7"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EFF6FF"/>
      <rgbColor rgb="FF888890"/>
      <rgbColor rgb="FF9999FF"/>
      <rgbColor rgb="FF7C3AED"/>
      <rgbColor rgb="FFFEF3C7"/>
      <rgbColor rgb="FFECFDF5"/>
      <rgbColor rgb="FF660066"/>
      <rgbColor rgb="FFFF8080"/>
      <rgbColor rgb="FF0066CC"/>
      <rgbColor rgb="FFDDDDD5"/>
      <rgbColor rgb="FF000080"/>
      <rgbColor rgb="FFFF00FF"/>
      <rgbColor rgb="FFFFFF00"/>
      <rgbColor rgb="FF00FFFF"/>
      <rgbColor rgb="FF800080"/>
      <rgbColor rgb="FF800000"/>
      <rgbColor rgb="FF1A6B66"/>
      <rgbColor rgb="FF0000FF"/>
      <rgbColor rgb="FF00CCFF"/>
      <rgbColor rgb="FFE6F2F1"/>
      <rgbColor rgb="FFF0FDF4"/>
      <rgbColor rgb="FFEEEEE8"/>
      <rgbColor rgb="FFF8F8F6"/>
      <rgbColor rgb="FFFF99CC"/>
      <rgbColor rgb="FFCC99FF"/>
      <rgbColor rgb="FFFEF2F2"/>
      <rgbColor rgb="FF2563EB"/>
      <rgbColor rgb="FF2DD4BF"/>
      <rgbColor rgb="FF99CC00"/>
      <rgbColor rgb="FFFFCC00"/>
      <rgbColor rgb="FFFF9900"/>
      <rgbColor rgb="FFD97706"/>
      <rgbColor rgb="FF555560"/>
      <rgbColor rgb="FF969696"/>
      <rgbColor rgb="FF003366"/>
      <rgbColor rgb="FF339966"/>
      <rgbColor rgb="FF0F0F14"/>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6B66"/>
  </sheetPr>
  <dimension ref="A1:E57"/>
  <sheetViews>
    <sheetView topLeftCell="A3" zoomScaleNormal="100" workbookViewId="0">
      <selection activeCell="A15" sqref="A15"/>
    </sheetView>
  </sheetViews>
  <sheetFormatPr defaultColWidth="8.6640625" defaultRowHeight="14.4" x14ac:dyDescent="0.3"/>
  <cols>
    <col min="1" max="1" width="2" style="133" customWidth="1"/>
    <col min="2" max="2" width="28.33203125" style="133" customWidth="1"/>
    <col min="3" max="3" width="50" style="133" customWidth="1"/>
    <col min="4" max="4" width="74.44140625" style="133" customWidth="1"/>
    <col min="5" max="5" width="39.33203125" style="133" customWidth="1"/>
    <col min="6" max="16384" width="8.6640625" style="133"/>
  </cols>
  <sheetData>
    <row r="1" spans="1:5" ht="7.95" customHeight="1" x14ac:dyDescent="0.3">
      <c r="A1" s="132"/>
      <c r="B1" s="132"/>
      <c r="C1" s="132"/>
      <c r="D1" s="132"/>
    </row>
    <row r="2" spans="1:5" ht="49.95" customHeight="1" x14ac:dyDescent="0.3">
      <c r="A2" s="134"/>
      <c r="B2" s="219" t="s">
        <v>211</v>
      </c>
      <c r="C2" s="220"/>
      <c r="D2" s="220"/>
      <c r="E2" s="134"/>
    </row>
    <row r="3" spans="1:5" ht="28.05" customHeight="1" x14ac:dyDescent="0.3">
      <c r="A3" s="135"/>
      <c r="B3" s="222" t="s">
        <v>212</v>
      </c>
      <c r="C3" s="223"/>
      <c r="D3" s="223"/>
      <c r="E3" s="135"/>
    </row>
    <row r="5" spans="1:5" ht="19.5" customHeight="1" thickBot="1" x14ac:dyDescent="0.35">
      <c r="B5" s="224" t="s">
        <v>213</v>
      </c>
      <c r="C5" s="215"/>
      <c r="D5" s="215"/>
    </row>
    <row r="7" spans="1:5" ht="64.5" customHeight="1" x14ac:dyDescent="0.3">
      <c r="B7" s="218" t="s">
        <v>214</v>
      </c>
      <c r="C7" s="217"/>
      <c r="D7" s="217"/>
    </row>
    <row r="9" spans="1:5" ht="30" customHeight="1" thickBot="1" x14ac:dyDescent="0.35">
      <c r="B9" s="224" t="s">
        <v>215</v>
      </c>
      <c r="C9" s="215"/>
      <c r="D9" s="215"/>
    </row>
    <row r="11" spans="1:5" ht="40.049999999999997" customHeight="1" x14ac:dyDescent="0.3">
      <c r="B11" s="138" t="s">
        <v>216</v>
      </c>
      <c r="C11" s="216" t="s">
        <v>217</v>
      </c>
      <c r="D11" s="217"/>
    </row>
    <row r="12" spans="1:5" ht="40.049999999999997" customHeight="1" x14ac:dyDescent="0.3">
      <c r="B12" s="139" t="s">
        <v>218</v>
      </c>
      <c r="C12" s="216" t="s">
        <v>219</v>
      </c>
      <c r="D12" s="217"/>
    </row>
    <row r="13" spans="1:5" ht="40.049999999999997" customHeight="1" x14ac:dyDescent="0.3">
      <c r="B13" s="140" t="s">
        <v>220</v>
      </c>
      <c r="C13" s="216" t="s">
        <v>221</v>
      </c>
      <c r="D13" s="217"/>
    </row>
    <row r="14" spans="1:5" ht="40.049999999999997" customHeight="1" x14ac:dyDescent="0.3">
      <c r="B14" s="141" t="s">
        <v>222</v>
      </c>
      <c r="C14" s="216" t="s">
        <v>223</v>
      </c>
      <c r="D14" s="217"/>
    </row>
    <row r="15" spans="1:5" ht="40.049999999999997" customHeight="1" x14ac:dyDescent="0.3">
      <c r="B15" s="142" t="s">
        <v>224</v>
      </c>
      <c r="C15" s="216" t="s">
        <v>225</v>
      </c>
      <c r="D15" s="217"/>
    </row>
    <row r="18" spans="2:4" ht="19.5" customHeight="1" x14ac:dyDescent="0.3">
      <c r="B18" s="136" t="s">
        <v>226</v>
      </c>
      <c r="C18" s="137"/>
      <c r="D18" s="137"/>
    </row>
    <row r="20" spans="2:4" ht="45" customHeight="1" x14ac:dyDescent="0.3">
      <c r="B20" s="221" t="s">
        <v>227</v>
      </c>
      <c r="C20" s="217"/>
      <c r="D20" s="217"/>
    </row>
    <row r="22" spans="2:4" ht="19.5" customHeight="1" x14ac:dyDescent="0.3">
      <c r="B22" s="143" t="s">
        <v>228</v>
      </c>
      <c r="C22" s="144" t="s">
        <v>229</v>
      </c>
      <c r="D22" s="145" t="s">
        <v>230</v>
      </c>
    </row>
    <row r="23" spans="2:4" ht="51.75" customHeight="1" x14ac:dyDescent="0.3">
      <c r="B23" s="146" t="s">
        <v>231</v>
      </c>
      <c r="C23" s="147" t="s">
        <v>232</v>
      </c>
      <c r="D23" s="148" t="s">
        <v>233</v>
      </c>
    </row>
    <row r="24" spans="2:4" ht="30" customHeight="1" x14ac:dyDescent="0.3">
      <c r="B24" s="149" t="s">
        <v>234</v>
      </c>
      <c r="C24" s="225" t="s">
        <v>235</v>
      </c>
      <c r="D24" s="226"/>
    </row>
    <row r="27" spans="2:4" ht="30" customHeight="1" thickBot="1" x14ac:dyDescent="0.35">
      <c r="B27" s="214" t="s">
        <v>236</v>
      </c>
      <c r="C27" s="215"/>
      <c r="D27" s="215"/>
    </row>
    <row r="29" spans="2:4" ht="27.75" customHeight="1" x14ac:dyDescent="0.3">
      <c r="B29" s="151" t="s">
        <v>237</v>
      </c>
      <c r="C29" s="151" t="s">
        <v>238</v>
      </c>
      <c r="D29" s="151" t="s">
        <v>239</v>
      </c>
    </row>
    <row r="30" spans="2:4" ht="84.75" customHeight="1" x14ac:dyDescent="0.3">
      <c r="B30" s="152" t="s">
        <v>240</v>
      </c>
      <c r="C30" s="153" t="s">
        <v>241</v>
      </c>
      <c r="D30" s="154" t="s">
        <v>242</v>
      </c>
    </row>
    <row r="31" spans="2:4" ht="84.75" customHeight="1" x14ac:dyDescent="0.3">
      <c r="B31" s="155" t="s">
        <v>243</v>
      </c>
      <c r="C31" s="153" t="s">
        <v>244</v>
      </c>
      <c r="D31" s="154" t="s">
        <v>245</v>
      </c>
    </row>
    <row r="32" spans="2:4" ht="84.75" customHeight="1" x14ac:dyDescent="0.3">
      <c r="B32" s="155" t="s">
        <v>246</v>
      </c>
      <c r="C32" s="153" t="s">
        <v>247</v>
      </c>
      <c r="D32" s="154" t="s">
        <v>248</v>
      </c>
    </row>
    <row r="33" spans="2:4" ht="84.75" customHeight="1" x14ac:dyDescent="0.3">
      <c r="B33" s="155" t="s">
        <v>249</v>
      </c>
      <c r="C33" s="153" t="s">
        <v>250</v>
      </c>
      <c r="D33" s="154" t="s">
        <v>251</v>
      </c>
    </row>
    <row r="34" spans="2:4" ht="84.75" customHeight="1" x14ac:dyDescent="0.3">
      <c r="B34" s="155" t="s">
        <v>252</v>
      </c>
      <c r="C34" s="153" t="s">
        <v>253</v>
      </c>
      <c r="D34" s="154" t="s">
        <v>254</v>
      </c>
    </row>
    <row r="36" spans="2:4" ht="27.75" customHeight="1" x14ac:dyDescent="0.3">
      <c r="B36" s="156" t="s">
        <v>237</v>
      </c>
      <c r="C36" s="156" t="s">
        <v>238</v>
      </c>
      <c r="D36" s="156" t="s">
        <v>239</v>
      </c>
    </row>
    <row r="37" spans="2:4" ht="84.75" customHeight="1" x14ac:dyDescent="0.3">
      <c r="B37" s="157" t="s">
        <v>255</v>
      </c>
      <c r="C37" s="158" t="s">
        <v>256</v>
      </c>
      <c r="D37" s="159" t="s">
        <v>257</v>
      </c>
    </row>
    <row r="38" spans="2:4" ht="84.75" customHeight="1" x14ac:dyDescent="0.3">
      <c r="B38" s="157" t="s">
        <v>258</v>
      </c>
      <c r="C38" s="158" t="s">
        <v>259</v>
      </c>
      <c r="D38" s="159" t="s">
        <v>260</v>
      </c>
    </row>
    <row r="39" spans="2:4" ht="84.75" customHeight="1" x14ac:dyDescent="0.3">
      <c r="B39" s="157" t="s">
        <v>261</v>
      </c>
      <c r="C39" s="158" t="s">
        <v>262</v>
      </c>
      <c r="D39" s="159" t="s">
        <v>263</v>
      </c>
    </row>
    <row r="40" spans="2:4" ht="84.75" customHeight="1" x14ac:dyDescent="0.3">
      <c r="B40" s="157" t="s">
        <v>264</v>
      </c>
      <c r="C40" s="158" t="s">
        <v>265</v>
      </c>
      <c r="D40" s="159" t="s">
        <v>266</v>
      </c>
    </row>
    <row r="41" spans="2:4" ht="84.75" customHeight="1" x14ac:dyDescent="0.3">
      <c r="B41" s="157" t="s">
        <v>267</v>
      </c>
      <c r="C41" s="158" t="s">
        <v>268</v>
      </c>
      <c r="D41" s="159" t="s">
        <v>269</v>
      </c>
    </row>
    <row r="43" spans="2:4" ht="27.75" customHeight="1" x14ac:dyDescent="0.3">
      <c r="B43" s="160" t="s">
        <v>237</v>
      </c>
      <c r="C43" s="160" t="s">
        <v>238</v>
      </c>
      <c r="D43" s="160" t="s">
        <v>270</v>
      </c>
    </row>
    <row r="44" spans="2:4" ht="84.75" customHeight="1" x14ac:dyDescent="0.3">
      <c r="B44" s="161" t="s">
        <v>271</v>
      </c>
      <c r="C44" s="162" t="s">
        <v>272</v>
      </c>
      <c r="D44" s="163" t="s">
        <v>273</v>
      </c>
    </row>
    <row r="45" spans="2:4" ht="84.75" customHeight="1" x14ac:dyDescent="0.3">
      <c r="B45" s="161" t="s">
        <v>274</v>
      </c>
      <c r="C45" s="162" t="s">
        <v>275</v>
      </c>
      <c r="D45" s="163" t="s">
        <v>276</v>
      </c>
    </row>
    <row r="46" spans="2:4" ht="84.75" customHeight="1" x14ac:dyDescent="0.3">
      <c r="B46" s="161" t="s">
        <v>277</v>
      </c>
      <c r="C46" s="162" t="s">
        <v>278</v>
      </c>
      <c r="D46" s="163" t="s">
        <v>279</v>
      </c>
    </row>
    <row r="47" spans="2:4" ht="84.75" customHeight="1" x14ac:dyDescent="0.3">
      <c r="B47" s="161" t="s">
        <v>280</v>
      </c>
      <c r="C47" s="162" t="s">
        <v>281</v>
      </c>
      <c r="D47" s="163" t="s">
        <v>282</v>
      </c>
    </row>
    <row r="48" spans="2:4" ht="84.75" customHeight="1" x14ac:dyDescent="0.3">
      <c r="B48" s="161" t="s">
        <v>283</v>
      </c>
      <c r="C48" s="162" t="s">
        <v>284</v>
      </c>
      <c r="D48" s="163" t="s">
        <v>285</v>
      </c>
    </row>
    <row r="49" spans="2:4" ht="84.75" customHeight="1" x14ac:dyDescent="0.3">
      <c r="B49" s="161" t="s">
        <v>286</v>
      </c>
      <c r="C49" s="162" t="s">
        <v>287</v>
      </c>
      <c r="D49" s="163" t="s">
        <v>288</v>
      </c>
    </row>
    <row r="50" spans="2:4" ht="84.75" customHeight="1" x14ac:dyDescent="0.3">
      <c r="B50" s="161" t="s">
        <v>289</v>
      </c>
      <c r="C50" s="162" t="s">
        <v>290</v>
      </c>
      <c r="D50" s="163" t="s">
        <v>291</v>
      </c>
    </row>
    <row r="53" spans="2:4" ht="19.5" customHeight="1" x14ac:dyDescent="0.3">
      <c r="B53" s="150" t="s">
        <v>292</v>
      </c>
      <c r="C53" s="137"/>
      <c r="D53" s="137"/>
    </row>
    <row r="55" spans="2:4" ht="30" customHeight="1" x14ac:dyDescent="0.3">
      <c r="B55" s="164" t="s">
        <v>293</v>
      </c>
      <c r="C55" s="165" t="s">
        <v>294</v>
      </c>
    </row>
    <row r="56" spans="2:4" ht="19.5" customHeight="1" x14ac:dyDescent="0.3">
      <c r="B56" s="166" t="s">
        <v>295</v>
      </c>
      <c r="C56" s="165" t="s">
        <v>296</v>
      </c>
    </row>
    <row r="57" spans="2:4" ht="19.5" customHeight="1" x14ac:dyDescent="0.3">
      <c r="B57" s="167" t="s">
        <v>297</v>
      </c>
      <c r="C57" s="165" t="s">
        <v>298</v>
      </c>
    </row>
  </sheetData>
  <mergeCells count="13">
    <mergeCell ref="B27:D27"/>
    <mergeCell ref="C14:D14"/>
    <mergeCell ref="C13:D13"/>
    <mergeCell ref="B7:D7"/>
    <mergeCell ref="B2:D2"/>
    <mergeCell ref="B20:D20"/>
    <mergeCell ref="C12:D12"/>
    <mergeCell ref="B3:D3"/>
    <mergeCell ref="B5:D5"/>
    <mergeCell ref="C24:D24"/>
    <mergeCell ref="C15:D15"/>
    <mergeCell ref="C11:D11"/>
    <mergeCell ref="B9:D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563EB"/>
  </sheetPr>
  <dimension ref="A1:F143"/>
  <sheetViews>
    <sheetView topLeftCell="A7" zoomScaleNormal="100" workbookViewId="0">
      <selection activeCell="D11" sqref="D11"/>
    </sheetView>
  </sheetViews>
  <sheetFormatPr defaultColWidth="8.6640625" defaultRowHeight="14.4" x14ac:dyDescent="0.3"/>
  <cols>
    <col min="1" max="1" width="4" customWidth="1"/>
    <col min="2" max="2" width="15.33203125" customWidth="1"/>
    <col min="3" max="3" width="28" customWidth="1"/>
    <col min="4" max="4" width="58" customWidth="1"/>
    <col min="5" max="5" width="65.6640625" customWidth="1"/>
    <col min="6" max="6" width="28" customWidth="1"/>
  </cols>
  <sheetData>
    <row r="1" spans="1:5" ht="7.95" customHeight="1" x14ac:dyDescent="0.3">
      <c r="A1" s="1"/>
      <c r="B1" s="1"/>
      <c r="C1" s="1"/>
      <c r="D1" s="1"/>
      <c r="E1" s="1"/>
    </row>
    <row r="2" spans="1:5" ht="42" customHeight="1" x14ac:dyDescent="0.3">
      <c r="A2" s="77"/>
      <c r="B2" s="194" t="s">
        <v>0</v>
      </c>
      <c r="C2" s="191"/>
      <c r="D2" s="191"/>
      <c r="E2" s="191"/>
    </row>
    <row r="3" spans="1:5" ht="25.95" customHeight="1" x14ac:dyDescent="0.3">
      <c r="A3" s="78"/>
      <c r="B3" s="195" t="s">
        <v>1</v>
      </c>
      <c r="C3" s="196"/>
      <c r="D3" s="196"/>
      <c r="E3" s="196"/>
    </row>
    <row r="4" spans="1:5" ht="22.05" customHeight="1" x14ac:dyDescent="0.3">
      <c r="A4" s="78"/>
      <c r="B4" s="198" t="s">
        <v>2</v>
      </c>
      <c r="C4" s="196"/>
      <c r="D4" s="196"/>
      <c r="E4" s="196"/>
    </row>
    <row r="5" spans="1:5" ht="10.050000000000001" customHeight="1" x14ac:dyDescent="0.3"/>
    <row r="6" spans="1:5" ht="160.05000000000001" customHeight="1" x14ac:dyDescent="0.3">
      <c r="B6" s="185" t="s">
        <v>3</v>
      </c>
      <c r="C6" s="186"/>
      <c r="D6" s="197" t="s">
        <v>606</v>
      </c>
      <c r="E6" s="186"/>
    </row>
    <row r="7" spans="1:5" ht="12" customHeight="1" x14ac:dyDescent="0.3"/>
    <row r="8" spans="1:5" ht="36" customHeight="1" x14ac:dyDescent="0.3">
      <c r="A8" s="79"/>
      <c r="B8" s="188" t="s">
        <v>4</v>
      </c>
      <c r="C8" s="189"/>
      <c r="D8" s="189"/>
      <c r="E8" s="189"/>
    </row>
    <row r="9" spans="1:5" ht="7.95" customHeight="1" x14ac:dyDescent="0.3"/>
    <row r="10" spans="1:5" ht="52.05" customHeight="1" x14ac:dyDescent="0.3">
      <c r="B10" s="80" t="s">
        <v>5</v>
      </c>
      <c r="C10" s="122" t="s">
        <v>6</v>
      </c>
      <c r="D10" s="204" t="s">
        <v>7</v>
      </c>
      <c r="E10" s="178"/>
    </row>
    <row r="11" spans="1:5" ht="48" customHeight="1" x14ac:dyDescent="0.3">
      <c r="C11" s="81" t="s">
        <v>8</v>
      </c>
      <c r="D11" s="82"/>
      <c r="E11" s="83"/>
    </row>
    <row r="12" spans="1:5" ht="36" customHeight="1" x14ac:dyDescent="0.3">
      <c r="C12" s="81" t="s">
        <v>9</v>
      </c>
      <c r="D12" s="168" t="s">
        <v>10</v>
      </c>
      <c r="E12" s="169"/>
    </row>
    <row r="13" spans="1:5" ht="36" customHeight="1" x14ac:dyDescent="0.3">
      <c r="C13" s="81" t="s">
        <v>11</v>
      </c>
      <c r="D13" s="199" t="s">
        <v>12</v>
      </c>
      <c r="E13" s="169"/>
    </row>
    <row r="14" spans="1:5" ht="31.95" customHeight="1" x14ac:dyDescent="0.3">
      <c r="C14" s="84" t="s">
        <v>13</v>
      </c>
      <c r="D14" s="174" t="s">
        <v>14</v>
      </c>
      <c r="E14" s="169"/>
    </row>
    <row r="15" spans="1:5" ht="25.95" customHeight="1" x14ac:dyDescent="0.3">
      <c r="C15" s="81" t="s">
        <v>15</v>
      </c>
      <c r="D15" s="172" t="s">
        <v>16</v>
      </c>
      <c r="E15" s="169"/>
    </row>
    <row r="16" spans="1:5" ht="31.95" customHeight="1" x14ac:dyDescent="0.3">
      <c r="C16" s="81" t="s">
        <v>17</v>
      </c>
      <c r="D16" s="175" t="s">
        <v>18</v>
      </c>
      <c r="E16" s="169"/>
    </row>
    <row r="17" spans="2:6" ht="48" customHeight="1" x14ac:dyDescent="0.3">
      <c r="C17" s="67" t="s">
        <v>19</v>
      </c>
      <c r="D17" s="210" t="s">
        <v>20</v>
      </c>
      <c r="E17" s="180"/>
      <c r="F17" s="131" t="s">
        <v>607</v>
      </c>
    </row>
    <row r="18" spans="2:6" ht="52.05" customHeight="1" x14ac:dyDescent="0.3">
      <c r="B18" s="85" t="s">
        <v>21</v>
      </c>
      <c r="C18" s="123" t="s">
        <v>22</v>
      </c>
      <c r="D18" s="211" t="s">
        <v>23</v>
      </c>
      <c r="E18" s="178"/>
    </row>
    <row r="19" spans="2:6" ht="48" customHeight="1" x14ac:dyDescent="0.3">
      <c r="C19" s="86" t="s">
        <v>8</v>
      </c>
      <c r="D19" s="170"/>
      <c r="E19" s="171"/>
    </row>
    <row r="20" spans="2:6" ht="36" customHeight="1" x14ac:dyDescent="0.3">
      <c r="C20" s="86" t="s">
        <v>9</v>
      </c>
      <c r="D20" s="168" t="s">
        <v>24</v>
      </c>
      <c r="E20" s="169"/>
    </row>
    <row r="21" spans="2:6" ht="36" customHeight="1" x14ac:dyDescent="0.3">
      <c r="C21" s="86" t="s">
        <v>11</v>
      </c>
      <c r="D21" s="173" t="s">
        <v>25</v>
      </c>
      <c r="E21" s="169"/>
    </row>
    <row r="22" spans="2:6" ht="31.95" customHeight="1" x14ac:dyDescent="0.3">
      <c r="C22" s="87" t="s">
        <v>13</v>
      </c>
      <c r="D22" s="174" t="s">
        <v>26</v>
      </c>
      <c r="E22" s="169"/>
    </row>
    <row r="23" spans="2:6" ht="25.95" customHeight="1" x14ac:dyDescent="0.3">
      <c r="C23" s="86" t="s">
        <v>15</v>
      </c>
      <c r="D23" s="172" t="s">
        <v>27</v>
      </c>
      <c r="E23" s="169"/>
    </row>
    <row r="24" spans="2:6" ht="31.95" customHeight="1" x14ac:dyDescent="0.3">
      <c r="C24" s="86" t="s">
        <v>17</v>
      </c>
      <c r="D24" s="175" t="s">
        <v>28</v>
      </c>
      <c r="E24" s="169"/>
    </row>
    <row r="25" spans="2:6" ht="48" customHeight="1" x14ac:dyDescent="0.3">
      <c r="C25" s="67" t="s">
        <v>19</v>
      </c>
      <c r="D25" s="179" t="s">
        <v>29</v>
      </c>
      <c r="E25" s="180"/>
    </row>
    <row r="26" spans="2:6" ht="52.05" customHeight="1" x14ac:dyDescent="0.3">
      <c r="B26" s="88" t="s">
        <v>30</v>
      </c>
      <c r="C26" s="124" t="s">
        <v>31</v>
      </c>
      <c r="D26" s="212" t="s">
        <v>32</v>
      </c>
      <c r="E26" s="178"/>
    </row>
    <row r="27" spans="2:6" ht="48" customHeight="1" x14ac:dyDescent="0.3">
      <c r="C27" s="89" t="s">
        <v>8</v>
      </c>
      <c r="D27" s="170"/>
      <c r="E27" s="171"/>
    </row>
    <row r="28" spans="2:6" ht="36" customHeight="1" x14ac:dyDescent="0.3">
      <c r="C28" s="89" t="s">
        <v>9</v>
      </c>
      <c r="D28" s="168" t="s">
        <v>33</v>
      </c>
      <c r="E28" s="169"/>
    </row>
    <row r="29" spans="2:6" ht="36" customHeight="1" x14ac:dyDescent="0.3">
      <c r="C29" s="89" t="s">
        <v>11</v>
      </c>
      <c r="D29" s="183" t="s">
        <v>34</v>
      </c>
      <c r="E29" s="169"/>
    </row>
    <row r="30" spans="2:6" ht="31.95" customHeight="1" x14ac:dyDescent="0.3">
      <c r="C30" s="90" t="s">
        <v>13</v>
      </c>
      <c r="D30" s="174" t="s">
        <v>35</v>
      </c>
      <c r="E30" s="169"/>
    </row>
    <row r="31" spans="2:6" ht="25.95" customHeight="1" x14ac:dyDescent="0.3">
      <c r="C31" s="89" t="s">
        <v>15</v>
      </c>
      <c r="D31" s="172" t="s">
        <v>36</v>
      </c>
      <c r="E31" s="169"/>
    </row>
    <row r="32" spans="2:6" ht="31.95" customHeight="1" x14ac:dyDescent="0.3">
      <c r="C32" s="89" t="s">
        <v>17</v>
      </c>
      <c r="D32" s="175" t="s">
        <v>37</v>
      </c>
      <c r="E32" s="169"/>
    </row>
    <row r="33" spans="2:5" ht="48" customHeight="1" x14ac:dyDescent="0.3">
      <c r="C33" s="67" t="s">
        <v>19</v>
      </c>
      <c r="D33" s="179" t="s">
        <v>38</v>
      </c>
      <c r="E33" s="180"/>
    </row>
    <row r="34" spans="2:5" ht="52.05" customHeight="1" x14ac:dyDescent="0.3">
      <c r="B34" s="91" t="s">
        <v>39</v>
      </c>
      <c r="C34" s="125" t="s">
        <v>40</v>
      </c>
      <c r="D34" s="205" t="s">
        <v>41</v>
      </c>
      <c r="E34" s="178"/>
    </row>
    <row r="35" spans="2:5" ht="48" customHeight="1" x14ac:dyDescent="0.3">
      <c r="C35" s="92" t="s">
        <v>8</v>
      </c>
      <c r="D35" s="170"/>
      <c r="E35" s="171"/>
    </row>
    <row r="36" spans="2:5" ht="36" customHeight="1" x14ac:dyDescent="0.3">
      <c r="C36" s="92" t="s">
        <v>9</v>
      </c>
      <c r="D36" s="168" t="s">
        <v>42</v>
      </c>
      <c r="E36" s="169"/>
    </row>
    <row r="37" spans="2:5" ht="36" customHeight="1" x14ac:dyDescent="0.3">
      <c r="C37" s="92" t="s">
        <v>11</v>
      </c>
      <c r="D37" s="202" t="s">
        <v>43</v>
      </c>
      <c r="E37" s="169"/>
    </row>
    <row r="38" spans="2:5" ht="31.95" customHeight="1" x14ac:dyDescent="0.3">
      <c r="C38" s="93" t="s">
        <v>13</v>
      </c>
      <c r="D38" s="174" t="s">
        <v>44</v>
      </c>
      <c r="E38" s="169"/>
    </row>
    <row r="39" spans="2:5" ht="25.95" customHeight="1" x14ac:dyDescent="0.3">
      <c r="C39" s="92" t="s">
        <v>15</v>
      </c>
      <c r="D39" s="172" t="s">
        <v>45</v>
      </c>
      <c r="E39" s="169"/>
    </row>
    <row r="40" spans="2:5" ht="31.95" customHeight="1" x14ac:dyDescent="0.3">
      <c r="C40" s="92" t="s">
        <v>17</v>
      </c>
      <c r="D40" s="175" t="s">
        <v>46</v>
      </c>
      <c r="E40" s="169"/>
    </row>
    <row r="41" spans="2:5" ht="48" customHeight="1" x14ac:dyDescent="0.3">
      <c r="C41" s="67" t="s">
        <v>19</v>
      </c>
      <c r="D41" s="179" t="s">
        <v>47</v>
      </c>
      <c r="E41" s="180"/>
    </row>
    <row r="42" spans="2:5" ht="52.05" customHeight="1" x14ac:dyDescent="0.3">
      <c r="B42" s="94" t="s">
        <v>48</v>
      </c>
      <c r="C42" s="126" t="s">
        <v>49</v>
      </c>
      <c r="D42" s="206" t="s">
        <v>50</v>
      </c>
      <c r="E42" s="178"/>
    </row>
    <row r="43" spans="2:5" ht="48" customHeight="1" x14ac:dyDescent="0.3">
      <c r="C43" s="95" t="s">
        <v>8</v>
      </c>
      <c r="D43" s="170"/>
      <c r="E43" s="171"/>
    </row>
    <row r="44" spans="2:5" ht="36" customHeight="1" x14ac:dyDescent="0.3">
      <c r="C44" s="95" t="s">
        <v>9</v>
      </c>
      <c r="D44" s="168" t="s">
        <v>51</v>
      </c>
      <c r="E44" s="169"/>
    </row>
    <row r="45" spans="2:5" ht="36" customHeight="1" x14ac:dyDescent="0.3">
      <c r="C45" s="95" t="s">
        <v>11</v>
      </c>
      <c r="D45" s="176" t="s">
        <v>52</v>
      </c>
      <c r="E45" s="169"/>
    </row>
    <row r="46" spans="2:5" ht="31.95" customHeight="1" x14ac:dyDescent="0.3">
      <c r="C46" s="96" t="s">
        <v>13</v>
      </c>
      <c r="D46" s="174" t="s">
        <v>53</v>
      </c>
      <c r="E46" s="169"/>
    </row>
    <row r="47" spans="2:5" ht="25.95" customHeight="1" x14ac:dyDescent="0.3">
      <c r="C47" s="95" t="s">
        <v>15</v>
      </c>
      <c r="D47" s="172" t="s">
        <v>16</v>
      </c>
      <c r="E47" s="169"/>
    </row>
    <row r="48" spans="2:5" ht="31.95" customHeight="1" x14ac:dyDescent="0.3">
      <c r="C48" s="95" t="s">
        <v>17</v>
      </c>
      <c r="D48" s="175" t="s">
        <v>54</v>
      </c>
      <c r="E48" s="169"/>
    </row>
    <row r="49" spans="2:5" ht="48" customHeight="1" x14ac:dyDescent="0.3">
      <c r="C49" s="67" t="s">
        <v>19</v>
      </c>
      <c r="D49" s="179" t="s">
        <v>55</v>
      </c>
      <c r="E49" s="180"/>
    </row>
    <row r="50" spans="2:5" ht="52.05" customHeight="1" x14ac:dyDescent="0.3">
      <c r="B50" s="97" t="s">
        <v>56</v>
      </c>
      <c r="C50" s="127" t="s">
        <v>57</v>
      </c>
      <c r="D50" s="207" t="s">
        <v>58</v>
      </c>
      <c r="E50" s="178"/>
    </row>
    <row r="51" spans="2:5" ht="48" customHeight="1" x14ac:dyDescent="0.3">
      <c r="C51" s="98" t="s">
        <v>8</v>
      </c>
      <c r="D51" s="170"/>
      <c r="E51" s="171"/>
    </row>
    <row r="52" spans="2:5" ht="36" customHeight="1" x14ac:dyDescent="0.3">
      <c r="C52" s="98" t="s">
        <v>9</v>
      </c>
      <c r="D52" s="168" t="s">
        <v>59</v>
      </c>
      <c r="E52" s="169"/>
    </row>
    <row r="53" spans="2:5" ht="36" customHeight="1" x14ac:dyDescent="0.3">
      <c r="C53" s="98" t="s">
        <v>11</v>
      </c>
      <c r="D53" s="193" t="s">
        <v>60</v>
      </c>
      <c r="E53" s="169"/>
    </row>
    <row r="54" spans="2:5" ht="31.95" customHeight="1" x14ac:dyDescent="0.3">
      <c r="C54" s="99" t="s">
        <v>13</v>
      </c>
      <c r="D54" s="174" t="s">
        <v>61</v>
      </c>
      <c r="E54" s="169"/>
    </row>
    <row r="55" spans="2:5" ht="25.95" customHeight="1" x14ac:dyDescent="0.3">
      <c r="C55" s="98" t="s">
        <v>15</v>
      </c>
      <c r="D55" s="172" t="s">
        <v>62</v>
      </c>
      <c r="E55" s="169"/>
    </row>
    <row r="56" spans="2:5" ht="31.95" customHeight="1" x14ac:dyDescent="0.3">
      <c r="C56" s="98" t="s">
        <v>17</v>
      </c>
      <c r="D56" s="175" t="s">
        <v>63</v>
      </c>
      <c r="E56" s="169"/>
    </row>
    <row r="57" spans="2:5" ht="48" customHeight="1" x14ac:dyDescent="0.3">
      <c r="C57" s="67" t="s">
        <v>19</v>
      </c>
      <c r="D57" s="179" t="s">
        <v>64</v>
      </c>
      <c r="E57" s="180"/>
    </row>
    <row r="58" spans="2:5" ht="52.05" customHeight="1" x14ac:dyDescent="0.3">
      <c r="B58" s="100" t="s">
        <v>65</v>
      </c>
      <c r="C58" s="128" t="s">
        <v>66</v>
      </c>
      <c r="D58" s="200" t="s">
        <v>67</v>
      </c>
      <c r="E58" s="178"/>
    </row>
    <row r="59" spans="2:5" ht="48" customHeight="1" x14ac:dyDescent="0.3">
      <c r="C59" s="101" t="s">
        <v>8</v>
      </c>
      <c r="D59" s="170"/>
      <c r="E59" s="171"/>
    </row>
    <row r="60" spans="2:5" ht="36" customHeight="1" x14ac:dyDescent="0.3">
      <c r="C60" s="101" t="s">
        <v>9</v>
      </c>
      <c r="D60" s="168" t="s">
        <v>68</v>
      </c>
      <c r="E60" s="169"/>
    </row>
    <row r="61" spans="2:5" ht="36" customHeight="1" x14ac:dyDescent="0.3">
      <c r="C61" s="101" t="s">
        <v>11</v>
      </c>
      <c r="D61" s="192" t="s">
        <v>69</v>
      </c>
      <c r="E61" s="169"/>
    </row>
    <row r="62" spans="2:5" ht="31.95" customHeight="1" x14ac:dyDescent="0.3">
      <c r="C62" s="102" t="s">
        <v>13</v>
      </c>
      <c r="D62" s="174" t="s">
        <v>70</v>
      </c>
      <c r="E62" s="169"/>
    </row>
    <row r="63" spans="2:5" ht="25.95" customHeight="1" x14ac:dyDescent="0.3">
      <c r="C63" s="101" t="s">
        <v>15</v>
      </c>
      <c r="D63" s="172" t="s">
        <v>71</v>
      </c>
      <c r="E63" s="169"/>
    </row>
    <row r="64" spans="2:5" ht="31.95" customHeight="1" x14ac:dyDescent="0.3">
      <c r="C64" s="101" t="s">
        <v>17</v>
      </c>
      <c r="D64" s="175" t="s">
        <v>72</v>
      </c>
      <c r="E64" s="169"/>
    </row>
    <row r="65" spans="2:5" ht="48" customHeight="1" x14ac:dyDescent="0.3">
      <c r="C65" s="67" t="s">
        <v>19</v>
      </c>
      <c r="D65" s="179" t="s">
        <v>73</v>
      </c>
      <c r="E65" s="180"/>
    </row>
    <row r="66" spans="2:5" ht="52.05" customHeight="1" x14ac:dyDescent="0.3">
      <c r="B66" s="103" t="s">
        <v>74</v>
      </c>
      <c r="C66" s="129" t="s">
        <v>75</v>
      </c>
      <c r="D66" s="177" t="s">
        <v>76</v>
      </c>
      <c r="E66" s="178"/>
    </row>
    <row r="67" spans="2:5" ht="48" customHeight="1" x14ac:dyDescent="0.3">
      <c r="C67" s="104" t="s">
        <v>8</v>
      </c>
      <c r="D67" s="170"/>
      <c r="E67" s="171"/>
    </row>
    <row r="68" spans="2:5" ht="36" customHeight="1" x14ac:dyDescent="0.3">
      <c r="C68" s="104" t="s">
        <v>9</v>
      </c>
      <c r="D68" s="168" t="s">
        <v>77</v>
      </c>
      <c r="E68" s="169"/>
    </row>
    <row r="69" spans="2:5" ht="36" customHeight="1" x14ac:dyDescent="0.3">
      <c r="C69" s="104" t="s">
        <v>11</v>
      </c>
      <c r="D69" s="182" t="s">
        <v>78</v>
      </c>
      <c r="E69" s="169"/>
    </row>
    <row r="70" spans="2:5" ht="31.95" customHeight="1" x14ac:dyDescent="0.3">
      <c r="C70" s="105" t="s">
        <v>13</v>
      </c>
      <c r="D70" s="174" t="s">
        <v>79</v>
      </c>
      <c r="E70" s="169"/>
    </row>
    <row r="71" spans="2:5" ht="25.95" customHeight="1" x14ac:dyDescent="0.3">
      <c r="C71" s="104" t="s">
        <v>15</v>
      </c>
      <c r="D71" s="172" t="s">
        <v>80</v>
      </c>
      <c r="E71" s="169"/>
    </row>
    <row r="72" spans="2:5" ht="31.95" customHeight="1" x14ac:dyDescent="0.3">
      <c r="C72" s="104" t="s">
        <v>17</v>
      </c>
      <c r="D72" s="175" t="s">
        <v>81</v>
      </c>
      <c r="E72" s="169"/>
    </row>
    <row r="73" spans="2:5" ht="48" customHeight="1" x14ac:dyDescent="0.3">
      <c r="C73" s="67" t="s">
        <v>19</v>
      </c>
      <c r="D73" s="179" t="s">
        <v>82</v>
      </c>
      <c r="E73" s="180"/>
    </row>
    <row r="74" spans="2:5" ht="52.05" customHeight="1" x14ac:dyDescent="0.3">
      <c r="B74" s="106" t="s">
        <v>83</v>
      </c>
      <c r="C74" s="130" t="s">
        <v>84</v>
      </c>
      <c r="D74" s="181" t="s">
        <v>85</v>
      </c>
      <c r="E74" s="178"/>
    </row>
    <row r="75" spans="2:5" ht="48" customHeight="1" x14ac:dyDescent="0.3">
      <c r="C75" s="107" t="s">
        <v>8</v>
      </c>
      <c r="D75" s="170"/>
      <c r="E75" s="171"/>
    </row>
    <row r="76" spans="2:5" ht="36" customHeight="1" x14ac:dyDescent="0.3">
      <c r="C76" s="107" t="s">
        <v>9</v>
      </c>
      <c r="D76" s="168" t="s">
        <v>86</v>
      </c>
      <c r="E76" s="169"/>
    </row>
    <row r="77" spans="2:5" ht="36" customHeight="1" x14ac:dyDescent="0.3">
      <c r="C77" s="107" t="s">
        <v>11</v>
      </c>
      <c r="D77" s="203" t="s">
        <v>87</v>
      </c>
      <c r="E77" s="169"/>
    </row>
    <row r="78" spans="2:5" ht="31.95" customHeight="1" x14ac:dyDescent="0.3">
      <c r="C78" s="108" t="s">
        <v>13</v>
      </c>
      <c r="D78" s="174" t="s">
        <v>88</v>
      </c>
      <c r="E78" s="169"/>
    </row>
    <row r="79" spans="2:5" ht="25.95" customHeight="1" x14ac:dyDescent="0.3">
      <c r="C79" s="107" t="s">
        <v>15</v>
      </c>
      <c r="D79" s="172" t="s">
        <v>89</v>
      </c>
      <c r="E79" s="169"/>
    </row>
    <row r="80" spans="2:5" ht="31.95" customHeight="1" x14ac:dyDescent="0.3">
      <c r="C80" s="107" t="s">
        <v>17</v>
      </c>
      <c r="D80" s="175" t="s">
        <v>90</v>
      </c>
      <c r="E80" s="169"/>
    </row>
    <row r="81" spans="1:5" ht="48" customHeight="1" x14ac:dyDescent="0.3">
      <c r="C81" s="67" t="s">
        <v>19</v>
      </c>
      <c r="D81" s="179" t="s">
        <v>91</v>
      </c>
      <c r="E81" s="180"/>
    </row>
    <row r="82" spans="1:5" ht="52.05" customHeight="1" x14ac:dyDescent="0.3">
      <c r="B82" s="109" t="s">
        <v>92</v>
      </c>
      <c r="C82" s="122" t="s">
        <v>93</v>
      </c>
      <c r="D82" s="204" t="s">
        <v>94</v>
      </c>
      <c r="E82" s="178"/>
    </row>
    <row r="83" spans="1:5" ht="48" customHeight="1" x14ac:dyDescent="0.3">
      <c r="C83" s="110" t="s">
        <v>8</v>
      </c>
      <c r="D83" s="170"/>
      <c r="E83" s="171"/>
    </row>
    <row r="84" spans="1:5" ht="36" customHeight="1" x14ac:dyDescent="0.3">
      <c r="C84" s="110" t="s">
        <v>9</v>
      </c>
      <c r="D84" s="168" t="s">
        <v>95</v>
      </c>
      <c r="E84" s="169"/>
    </row>
    <row r="85" spans="1:5" ht="36" customHeight="1" x14ac:dyDescent="0.3">
      <c r="C85" s="110" t="s">
        <v>11</v>
      </c>
      <c r="D85" s="213" t="s">
        <v>96</v>
      </c>
      <c r="E85" s="169"/>
    </row>
    <row r="86" spans="1:5" ht="31.95" customHeight="1" x14ac:dyDescent="0.3">
      <c r="C86" s="111" t="s">
        <v>13</v>
      </c>
      <c r="D86" s="174" t="s">
        <v>97</v>
      </c>
      <c r="E86" s="169"/>
    </row>
    <row r="87" spans="1:5" ht="25.95" customHeight="1" x14ac:dyDescent="0.3">
      <c r="C87" s="110" t="s">
        <v>15</v>
      </c>
      <c r="D87" s="172" t="s">
        <v>98</v>
      </c>
      <c r="E87" s="169"/>
    </row>
    <row r="88" spans="1:5" ht="31.95" customHeight="1" x14ac:dyDescent="0.3">
      <c r="C88" s="110" t="s">
        <v>17</v>
      </c>
      <c r="D88" s="175" t="s">
        <v>99</v>
      </c>
      <c r="E88" s="169"/>
    </row>
    <row r="89" spans="1:5" ht="48" customHeight="1" x14ac:dyDescent="0.3">
      <c r="C89" s="67" t="s">
        <v>19</v>
      </c>
      <c r="D89" s="179" t="s">
        <v>100</v>
      </c>
      <c r="E89" s="180"/>
    </row>
    <row r="91" spans="1:5" ht="36" customHeight="1" x14ac:dyDescent="0.3">
      <c r="A91" s="77"/>
      <c r="B91" s="190" t="s">
        <v>101</v>
      </c>
      <c r="C91" s="191"/>
      <c r="D91" s="191"/>
      <c r="E91" s="191"/>
    </row>
    <row r="92" spans="1:5" ht="48" customHeight="1" x14ac:dyDescent="0.3">
      <c r="B92" s="184" t="s">
        <v>102</v>
      </c>
      <c r="C92" s="169"/>
      <c r="D92" s="187" t="s">
        <v>103</v>
      </c>
      <c r="E92" s="169"/>
    </row>
    <row r="94" spans="1:5" ht="28.05" customHeight="1" x14ac:dyDescent="0.3">
      <c r="B94" s="112" t="s">
        <v>104</v>
      </c>
      <c r="C94" s="112" t="s">
        <v>105</v>
      </c>
      <c r="D94" s="112" t="s">
        <v>106</v>
      </c>
      <c r="E94" s="113" t="s">
        <v>107</v>
      </c>
    </row>
    <row r="95" spans="1:5" ht="31.95" customHeight="1" x14ac:dyDescent="0.3">
      <c r="B95" s="114">
        <v>1</v>
      </c>
      <c r="C95" s="115"/>
      <c r="D95" s="115"/>
      <c r="E95" s="115"/>
    </row>
    <row r="96" spans="1:5" ht="31.95" customHeight="1" x14ac:dyDescent="0.3">
      <c r="B96" s="116">
        <v>2</v>
      </c>
      <c r="C96" s="117"/>
      <c r="D96" s="117"/>
      <c r="E96" s="117"/>
    </row>
    <row r="97" spans="1:5" ht="31.95" customHeight="1" x14ac:dyDescent="0.3">
      <c r="B97" s="114">
        <v>3</v>
      </c>
      <c r="C97" s="115"/>
      <c r="D97" s="115"/>
      <c r="E97" s="115"/>
    </row>
    <row r="98" spans="1:5" ht="31.95" customHeight="1" x14ac:dyDescent="0.3">
      <c r="B98" s="116">
        <v>4</v>
      </c>
      <c r="C98" s="117"/>
      <c r="D98" s="117"/>
      <c r="E98" s="117"/>
    </row>
    <row r="99" spans="1:5" ht="31.95" customHeight="1" x14ac:dyDescent="0.3">
      <c r="B99" s="114">
        <v>5</v>
      </c>
      <c r="C99" s="115"/>
      <c r="D99" s="115"/>
      <c r="E99" s="115"/>
    </row>
    <row r="100" spans="1:5" ht="31.95" customHeight="1" x14ac:dyDescent="0.3">
      <c r="B100" s="116">
        <v>6</v>
      </c>
      <c r="C100" s="117"/>
      <c r="D100" s="117"/>
      <c r="E100" s="117"/>
    </row>
    <row r="101" spans="1:5" ht="31.95" customHeight="1" x14ac:dyDescent="0.3">
      <c r="B101" s="114">
        <v>7</v>
      </c>
      <c r="C101" s="115"/>
      <c r="D101" s="115"/>
      <c r="E101" s="115"/>
    </row>
    <row r="102" spans="1:5" ht="31.95" customHeight="1" x14ac:dyDescent="0.3">
      <c r="B102" s="116">
        <v>8</v>
      </c>
      <c r="C102" s="117"/>
      <c r="D102" s="117"/>
      <c r="E102" s="117"/>
    </row>
    <row r="103" spans="1:5" ht="31.95" customHeight="1" x14ac:dyDescent="0.3">
      <c r="B103" s="114">
        <v>9</v>
      </c>
      <c r="C103" s="115"/>
      <c r="D103" s="115"/>
      <c r="E103" s="115"/>
    </row>
    <row r="104" spans="1:5" ht="31.95" customHeight="1" x14ac:dyDescent="0.3">
      <c r="B104" s="116">
        <v>10</v>
      </c>
      <c r="C104" s="117"/>
      <c r="D104" s="117"/>
      <c r="E104" s="117"/>
    </row>
    <row r="106" spans="1:5" ht="61.8" customHeight="1" x14ac:dyDescent="0.3">
      <c r="B106" s="118" t="s">
        <v>108</v>
      </c>
      <c r="D106" s="201" t="s">
        <v>109</v>
      </c>
      <c r="E106" s="169"/>
    </row>
    <row r="108" spans="1:5" ht="36" customHeight="1" x14ac:dyDescent="0.35">
      <c r="A108" s="77"/>
      <c r="B108" s="119" t="s">
        <v>110</v>
      </c>
      <c r="C108" s="77"/>
      <c r="D108" s="77"/>
      <c r="E108" s="77"/>
    </row>
    <row r="109" spans="1:5" ht="42" customHeight="1" x14ac:dyDescent="0.3">
      <c r="D109" s="209" t="s">
        <v>111</v>
      </c>
      <c r="E109" s="180"/>
    </row>
    <row r="111" spans="1:5" ht="25.95" customHeight="1" x14ac:dyDescent="0.3">
      <c r="B111" s="68" t="s">
        <v>107</v>
      </c>
      <c r="C111" s="68" t="s">
        <v>112</v>
      </c>
      <c r="D111" s="68" t="s">
        <v>113</v>
      </c>
      <c r="E111" s="68" t="s">
        <v>114</v>
      </c>
    </row>
    <row r="112" spans="1:5" ht="30" customHeight="1" x14ac:dyDescent="0.3">
      <c r="B112" s="69" t="s">
        <v>115</v>
      </c>
      <c r="C112" s="70" t="s">
        <v>116</v>
      </c>
      <c r="D112" s="71" t="s">
        <v>117</v>
      </c>
      <c r="E112" s="72" t="s">
        <v>118</v>
      </c>
    </row>
    <row r="113" spans="2:5" ht="30" customHeight="1" x14ac:dyDescent="0.3">
      <c r="B113" s="69" t="s">
        <v>115</v>
      </c>
      <c r="C113" s="70" t="s">
        <v>119</v>
      </c>
      <c r="D113" s="71" t="s">
        <v>120</v>
      </c>
      <c r="E113" s="72" t="s">
        <v>121</v>
      </c>
    </row>
    <row r="114" spans="2:5" ht="30" customHeight="1" x14ac:dyDescent="0.3">
      <c r="B114" s="69" t="s">
        <v>115</v>
      </c>
      <c r="C114" s="70" t="s">
        <v>122</v>
      </c>
      <c r="D114" s="71" t="s">
        <v>123</v>
      </c>
      <c r="E114" s="72" t="s">
        <v>124</v>
      </c>
    </row>
    <row r="115" spans="2:5" ht="30" customHeight="1" x14ac:dyDescent="0.3">
      <c r="B115" s="73" t="s">
        <v>125</v>
      </c>
      <c r="C115" s="74" t="s">
        <v>126</v>
      </c>
      <c r="D115" s="75" t="s">
        <v>127</v>
      </c>
      <c r="E115" s="76" t="s">
        <v>128</v>
      </c>
    </row>
    <row r="116" spans="2:5" ht="30" customHeight="1" x14ac:dyDescent="0.3">
      <c r="B116" s="73" t="s">
        <v>125</v>
      </c>
      <c r="C116" s="74" t="s">
        <v>129</v>
      </c>
      <c r="D116" s="75" t="s">
        <v>130</v>
      </c>
      <c r="E116" s="76" t="s">
        <v>131</v>
      </c>
    </row>
    <row r="117" spans="2:5" ht="30" customHeight="1" x14ac:dyDescent="0.3">
      <c r="B117" s="73" t="s">
        <v>125</v>
      </c>
      <c r="C117" s="74" t="s">
        <v>132</v>
      </c>
      <c r="D117" s="75" t="s">
        <v>133</v>
      </c>
      <c r="E117" s="76" t="s">
        <v>134</v>
      </c>
    </row>
    <row r="118" spans="2:5" ht="30" customHeight="1" x14ac:dyDescent="0.3">
      <c r="B118" s="69" t="s">
        <v>135</v>
      </c>
      <c r="C118" s="70" t="s">
        <v>136</v>
      </c>
      <c r="D118" s="71" t="s">
        <v>137</v>
      </c>
      <c r="E118" s="72" t="s">
        <v>138</v>
      </c>
    </row>
    <row r="119" spans="2:5" ht="30" customHeight="1" x14ac:dyDescent="0.3">
      <c r="B119" s="69" t="s">
        <v>135</v>
      </c>
      <c r="C119" s="70" t="s">
        <v>139</v>
      </c>
      <c r="D119" s="71" t="s">
        <v>140</v>
      </c>
      <c r="E119" s="72" t="s">
        <v>141</v>
      </c>
    </row>
    <row r="120" spans="2:5" ht="30" customHeight="1" x14ac:dyDescent="0.3">
      <c r="B120" s="69" t="s">
        <v>135</v>
      </c>
      <c r="C120" s="70" t="s">
        <v>142</v>
      </c>
      <c r="D120" s="71" t="s">
        <v>143</v>
      </c>
      <c r="E120" s="72" t="s">
        <v>144</v>
      </c>
    </row>
    <row r="121" spans="2:5" ht="30" customHeight="1" x14ac:dyDescent="0.3">
      <c r="B121" s="73" t="s">
        <v>145</v>
      </c>
      <c r="C121" s="74" t="s">
        <v>146</v>
      </c>
      <c r="D121" s="75" t="s">
        <v>147</v>
      </c>
      <c r="E121" s="76" t="s">
        <v>148</v>
      </c>
    </row>
    <row r="122" spans="2:5" ht="30" customHeight="1" x14ac:dyDescent="0.3">
      <c r="B122" s="73" t="s">
        <v>145</v>
      </c>
      <c r="C122" s="74" t="s">
        <v>149</v>
      </c>
      <c r="D122" s="75" t="s">
        <v>140</v>
      </c>
      <c r="E122" s="76" t="s">
        <v>150</v>
      </c>
    </row>
    <row r="123" spans="2:5" ht="30" customHeight="1" x14ac:dyDescent="0.3">
      <c r="B123" s="73" t="s">
        <v>145</v>
      </c>
      <c r="C123" s="74" t="s">
        <v>151</v>
      </c>
      <c r="D123" s="75" t="s">
        <v>152</v>
      </c>
      <c r="E123" s="76" t="s">
        <v>153</v>
      </c>
    </row>
    <row r="124" spans="2:5" ht="30" customHeight="1" x14ac:dyDescent="0.3">
      <c r="B124" s="69" t="s">
        <v>154</v>
      </c>
      <c r="C124" s="70" t="s">
        <v>155</v>
      </c>
      <c r="D124" s="71" t="s">
        <v>156</v>
      </c>
      <c r="E124" s="72" t="s">
        <v>157</v>
      </c>
    </row>
    <row r="125" spans="2:5" ht="30" customHeight="1" x14ac:dyDescent="0.3">
      <c r="B125" s="69" t="s">
        <v>154</v>
      </c>
      <c r="C125" s="70" t="s">
        <v>158</v>
      </c>
      <c r="D125" s="71" t="s">
        <v>159</v>
      </c>
      <c r="E125" s="72" t="s">
        <v>160</v>
      </c>
    </row>
    <row r="126" spans="2:5" ht="30" customHeight="1" x14ac:dyDescent="0.3">
      <c r="B126" s="69" t="s">
        <v>154</v>
      </c>
      <c r="C126" s="70" t="s">
        <v>161</v>
      </c>
      <c r="D126" s="71" t="s">
        <v>162</v>
      </c>
      <c r="E126" s="72" t="s">
        <v>163</v>
      </c>
    </row>
    <row r="127" spans="2:5" ht="30" customHeight="1" x14ac:dyDescent="0.3">
      <c r="B127" s="73" t="s">
        <v>164</v>
      </c>
      <c r="C127" s="74" t="s">
        <v>165</v>
      </c>
      <c r="D127" s="75" t="s">
        <v>166</v>
      </c>
      <c r="E127" s="76" t="s">
        <v>167</v>
      </c>
    </row>
    <row r="128" spans="2:5" ht="30" customHeight="1" x14ac:dyDescent="0.3">
      <c r="B128" s="73" t="s">
        <v>164</v>
      </c>
      <c r="C128" s="74" t="s">
        <v>168</v>
      </c>
      <c r="D128" s="75" t="s">
        <v>169</v>
      </c>
      <c r="E128" s="76" t="s">
        <v>170</v>
      </c>
    </row>
    <row r="129" spans="2:5" ht="30" customHeight="1" x14ac:dyDescent="0.3">
      <c r="B129" s="73" t="s">
        <v>164</v>
      </c>
      <c r="C129" s="74" t="s">
        <v>171</v>
      </c>
      <c r="D129" s="75" t="s">
        <v>117</v>
      </c>
      <c r="E129" s="76" t="s">
        <v>172</v>
      </c>
    </row>
    <row r="130" spans="2:5" ht="30" customHeight="1" x14ac:dyDescent="0.3">
      <c r="B130" s="69" t="s">
        <v>173</v>
      </c>
      <c r="C130" s="70" t="s">
        <v>174</v>
      </c>
      <c r="D130" s="71" t="s">
        <v>175</v>
      </c>
      <c r="E130" s="72" t="s">
        <v>176</v>
      </c>
    </row>
    <row r="131" spans="2:5" ht="30" customHeight="1" x14ac:dyDescent="0.3">
      <c r="B131" s="69" t="s">
        <v>173</v>
      </c>
      <c r="C131" s="70" t="s">
        <v>177</v>
      </c>
      <c r="D131" s="71" t="s">
        <v>178</v>
      </c>
      <c r="E131" s="72" t="s">
        <v>179</v>
      </c>
    </row>
    <row r="132" spans="2:5" ht="30" customHeight="1" x14ac:dyDescent="0.3">
      <c r="B132" s="69" t="s">
        <v>173</v>
      </c>
      <c r="C132" s="70" t="s">
        <v>180</v>
      </c>
      <c r="D132" s="71" t="s">
        <v>181</v>
      </c>
      <c r="E132" s="72" t="s">
        <v>182</v>
      </c>
    </row>
    <row r="133" spans="2:5" ht="30" customHeight="1" x14ac:dyDescent="0.3">
      <c r="B133" s="73" t="s">
        <v>183</v>
      </c>
      <c r="C133" s="74" t="s">
        <v>184</v>
      </c>
      <c r="D133" s="75" t="s">
        <v>185</v>
      </c>
      <c r="E133" s="76" t="s">
        <v>186</v>
      </c>
    </row>
    <row r="134" spans="2:5" ht="30" customHeight="1" x14ac:dyDescent="0.3">
      <c r="B134" s="73" t="s">
        <v>183</v>
      </c>
      <c r="C134" s="74" t="s">
        <v>187</v>
      </c>
      <c r="D134" s="75" t="s">
        <v>188</v>
      </c>
      <c r="E134" s="76" t="s">
        <v>189</v>
      </c>
    </row>
    <row r="135" spans="2:5" ht="30" customHeight="1" x14ac:dyDescent="0.3">
      <c r="B135" s="73" t="s">
        <v>183</v>
      </c>
      <c r="C135" s="74" t="s">
        <v>190</v>
      </c>
      <c r="D135" s="75" t="s">
        <v>191</v>
      </c>
      <c r="E135" s="76" t="s">
        <v>192</v>
      </c>
    </row>
    <row r="136" spans="2:5" ht="30" customHeight="1" x14ac:dyDescent="0.3">
      <c r="B136" s="69" t="s">
        <v>193</v>
      </c>
      <c r="C136" s="70" t="s">
        <v>194</v>
      </c>
      <c r="D136" s="71" t="s">
        <v>117</v>
      </c>
      <c r="E136" s="72" t="s">
        <v>195</v>
      </c>
    </row>
    <row r="137" spans="2:5" ht="30" customHeight="1" x14ac:dyDescent="0.3">
      <c r="B137" s="69" t="s">
        <v>193</v>
      </c>
      <c r="C137" s="70" t="s">
        <v>196</v>
      </c>
      <c r="D137" s="71" t="s">
        <v>140</v>
      </c>
      <c r="E137" s="72" t="s">
        <v>197</v>
      </c>
    </row>
    <row r="138" spans="2:5" ht="30" customHeight="1" x14ac:dyDescent="0.3">
      <c r="B138" s="69" t="s">
        <v>193</v>
      </c>
      <c r="C138" s="70" t="s">
        <v>198</v>
      </c>
      <c r="D138" s="71" t="s">
        <v>199</v>
      </c>
      <c r="E138" s="72" t="s">
        <v>200</v>
      </c>
    </row>
    <row r="139" spans="2:5" ht="30" customHeight="1" x14ac:dyDescent="0.3">
      <c r="B139" s="73" t="s">
        <v>201</v>
      </c>
      <c r="C139" s="74" t="s">
        <v>202</v>
      </c>
      <c r="D139" s="75" t="s">
        <v>203</v>
      </c>
      <c r="E139" s="76" t="s">
        <v>204</v>
      </c>
    </row>
    <row r="140" spans="2:5" ht="30" customHeight="1" x14ac:dyDescent="0.3">
      <c r="B140" s="73" t="s">
        <v>201</v>
      </c>
      <c r="C140" s="74" t="s">
        <v>205</v>
      </c>
      <c r="D140" s="75" t="s">
        <v>140</v>
      </c>
      <c r="E140" s="76" t="s">
        <v>206</v>
      </c>
    </row>
    <row r="141" spans="2:5" ht="30" customHeight="1" x14ac:dyDescent="0.3">
      <c r="B141" s="73" t="s">
        <v>201</v>
      </c>
      <c r="C141" s="74" t="s">
        <v>207</v>
      </c>
      <c r="D141" s="75" t="s">
        <v>208</v>
      </c>
      <c r="E141" s="76" t="s">
        <v>209</v>
      </c>
    </row>
    <row r="143" spans="2:5" ht="49.95" customHeight="1" x14ac:dyDescent="0.3">
      <c r="D143" s="208" t="s">
        <v>210</v>
      </c>
      <c r="E143" s="180"/>
    </row>
  </sheetData>
  <mergeCells count="91">
    <mergeCell ref="D89:E89"/>
    <mergeCell ref="D143:E143"/>
    <mergeCell ref="D109:E109"/>
    <mergeCell ref="D10:E10"/>
    <mergeCell ref="D17:E17"/>
    <mergeCell ref="D18:E18"/>
    <mergeCell ref="D25:E25"/>
    <mergeCell ref="D26:E26"/>
    <mergeCell ref="D14:E14"/>
    <mergeCell ref="D85:E85"/>
    <mergeCell ref="D54:E54"/>
    <mergeCell ref="D88:E88"/>
    <mergeCell ref="D44:E44"/>
    <mergeCell ref="D59:E59"/>
    <mergeCell ref="D35:E35"/>
    <mergeCell ref="D33:E33"/>
    <mergeCell ref="D106:E106"/>
    <mergeCell ref="D37:E37"/>
    <mergeCell ref="D83:E83"/>
    <mergeCell ref="D87:E87"/>
    <mergeCell ref="D72:E72"/>
    <mergeCell ref="D78:E78"/>
    <mergeCell ref="D77:E77"/>
    <mergeCell ref="D86:E86"/>
    <mergeCell ref="D76:E76"/>
    <mergeCell ref="D79:E79"/>
    <mergeCell ref="D84:E84"/>
    <mergeCell ref="D81:E81"/>
    <mergeCell ref="D82:E82"/>
    <mergeCell ref="D41:E41"/>
    <mergeCell ref="D42:E42"/>
    <mergeCell ref="D49:E49"/>
    <mergeCell ref="B2:E2"/>
    <mergeCell ref="D56:E56"/>
    <mergeCell ref="D71:E71"/>
    <mergeCell ref="D12:E12"/>
    <mergeCell ref="D39:E39"/>
    <mergeCell ref="B3:E3"/>
    <mergeCell ref="D43:E43"/>
    <mergeCell ref="D64:E64"/>
    <mergeCell ref="D6:E6"/>
    <mergeCell ref="D52:E52"/>
    <mergeCell ref="B4:E4"/>
    <mergeCell ref="D13:E13"/>
    <mergeCell ref="D15:E15"/>
    <mergeCell ref="D24:E24"/>
    <mergeCell ref="D57:E57"/>
    <mergeCell ref="D58:E58"/>
    <mergeCell ref="B92:C92"/>
    <mergeCell ref="B6:C6"/>
    <mergeCell ref="D92:E92"/>
    <mergeCell ref="D55:E55"/>
    <mergeCell ref="D68:E68"/>
    <mergeCell ref="B8:E8"/>
    <mergeCell ref="B91:E91"/>
    <mergeCell ref="D27:E27"/>
    <mergeCell ref="D61:E61"/>
    <mergeCell ref="D32:E32"/>
    <mergeCell ref="D70:E70"/>
    <mergeCell ref="D48:E48"/>
    <mergeCell ref="D75:E75"/>
    <mergeCell ref="D53:E53"/>
    <mergeCell ref="D47:E47"/>
    <mergeCell ref="D16:E16"/>
    <mergeCell ref="D80:E80"/>
    <mergeCell ref="D36:E36"/>
    <mergeCell ref="D31:E31"/>
    <mergeCell ref="D45:E45"/>
    <mergeCell ref="D66:E66"/>
    <mergeCell ref="D73:E73"/>
    <mergeCell ref="D74:E74"/>
    <mergeCell ref="D69:E69"/>
    <mergeCell ref="D67:E67"/>
    <mergeCell ref="D51:E51"/>
    <mergeCell ref="D38:E38"/>
    <mergeCell ref="D46:E46"/>
    <mergeCell ref="D62:E62"/>
    <mergeCell ref="D65:E65"/>
    <mergeCell ref="D34:E34"/>
    <mergeCell ref="D50:E50"/>
    <mergeCell ref="D20:E20"/>
    <mergeCell ref="D60:E60"/>
    <mergeCell ref="D19:E19"/>
    <mergeCell ref="D63:E63"/>
    <mergeCell ref="D21:E21"/>
    <mergeCell ref="D22:E22"/>
    <mergeCell ref="D40:E40"/>
    <mergeCell ref="D30:E30"/>
    <mergeCell ref="D29:E29"/>
    <mergeCell ref="D23:E23"/>
    <mergeCell ref="D28:E28"/>
  </mergeCells>
  <dataValidations count="1">
    <dataValidation type="list" allowBlank="1" sqref="E95:E104" xr:uid="{00000000-0002-0000-0100-000000000000}">
      <formula1>"P1,P2,P3,P4,P5,P6,P7,P8,P9,P10"</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7706"/>
  </sheetPr>
  <dimension ref="A1:O34"/>
  <sheetViews>
    <sheetView topLeftCell="A11" zoomScale="80" zoomScaleNormal="80" workbookViewId="0">
      <selection activeCell="K1" sqref="K1"/>
    </sheetView>
  </sheetViews>
  <sheetFormatPr defaultColWidth="8.6640625" defaultRowHeight="14.4" x14ac:dyDescent="0.3"/>
  <cols>
    <col min="1" max="1" width="2" customWidth="1"/>
    <col min="2" max="2" width="5" customWidth="1"/>
    <col min="3" max="3" width="26" customWidth="1"/>
    <col min="4" max="4" width="8" customWidth="1"/>
    <col min="5" max="14" width="20" customWidth="1"/>
  </cols>
  <sheetData>
    <row r="1" spans="1:15" ht="15" customHeight="1" x14ac:dyDescent="0.3">
      <c r="A1" s="1"/>
      <c r="B1" s="1"/>
      <c r="C1" s="1"/>
      <c r="D1" s="1"/>
      <c r="E1" s="1"/>
      <c r="F1" s="1"/>
      <c r="G1" s="1"/>
      <c r="H1" s="1"/>
      <c r="I1" s="1"/>
      <c r="J1" s="1"/>
      <c r="K1" s="1"/>
      <c r="L1" s="1"/>
      <c r="M1" s="1"/>
      <c r="N1" s="1"/>
      <c r="O1" s="1"/>
    </row>
    <row r="2" spans="1:15" ht="42" hidden="1" customHeight="1" x14ac:dyDescent="0.35">
      <c r="A2" s="77"/>
      <c r="B2" s="228" t="s">
        <v>299</v>
      </c>
      <c r="C2" s="191"/>
      <c r="D2" s="191"/>
      <c r="E2" s="191"/>
      <c r="F2" s="191"/>
      <c r="G2" s="191"/>
      <c r="H2" s="191"/>
      <c r="I2" s="191"/>
      <c r="J2" s="191"/>
      <c r="K2" s="191"/>
      <c r="L2" s="191"/>
      <c r="M2" s="191"/>
      <c r="N2" s="191"/>
      <c r="O2" s="77"/>
    </row>
    <row r="3" spans="1:15" ht="15" hidden="1" customHeight="1" x14ac:dyDescent="0.3">
      <c r="A3" s="1"/>
      <c r="B3" s="227" t="s">
        <v>300</v>
      </c>
      <c r="C3" s="169"/>
      <c r="D3" s="169"/>
      <c r="E3" s="169"/>
      <c r="F3" s="169"/>
      <c r="G3" s="169"/>
      <c r="H3" s="169"/>
      <c r="I3" s="169"/>
      <c r="J3" s="169"/>
      <c r="K3" s="169"/>
      <c r="L3" s="169"/>
      <c r="M3" s="169"/>
      <c r="N3" s="169"/>
      <c r="O3" s="1"/>
    </row>
    <row r="4" spans="1:15" hidden="1" x14ac:dyDescent="0.3"/>
    <row r="5" spans="1:15" ht="54.75" hidden="1" customHeight="1" x14ac:dyDescent="0.3">
      <c r="B5" s="232" t="s">
        <v>608</v>
      </c>
      <c r="C5" s="169"/>
      <c r="D5" s="169"/>
      <c r="E5" s="169"/>
      <c r="F5" s="169"/>
      <c r="G5" s="169"/>
      <c r="H5" s="169"/>
      <c r="I5" s="169"/>
      <c r="J5" s="169"/>
      <c r="K5" s="169"/>
      <c r="L5" s="169"/>
      <c r="M5" s="169"/>
      <c r="N5" s="169"/>
    </row>
    <row r="6" spans="1:15" ht="15" hidden="1" customHeight="1" x14ac:dyDescent="0.3">
      <c r="B6" s="236" t="s">
        <v>301</v>
      </c>
      <c r="C6" s="169"/>
      <c r="D6" s="169"/>
      <c r="E6" s="169"/>
      <c r="F6" s="169"/>
      <c r="G6" s="169"/>
      <c r="H6" s="169"/>
      <c r="I6" s="169"/>
      <c r="J6" s="169"/>
      <c r="K6" s="169"/>
      <c r="L6" s="169"/>
      <c r="M6" s="169"/>
      <c r="N6" s="169"/>
    </row>
    <row r="7" spans="1:15" hidden="1" x14ac:dyDescent="0.3"/>
    <row r="8" spans="1:15" ht="27.75" customHeight="1" x14ac:dyDescent="0.3">
      <c r="B8" s="6" t="s">
        <v>104</v>
      </c>
      <c r="C8" s="7" t="s">
        <v>237</v>
      </c>
      <c r="D8" s="6" t="s">
        <v>302</v>
      </c>
      <c r="E8" s="8" t="s">
        <v>303</v>
      </c>
      <c r="F8" s="8" t="s">
        <v>304</v>
      </c>
      <c r="G8" s="8" t="s">
        <v>305</v>
      </c>
      <c r="H8" s="8" t="s">
        <v>306</v>
      </c>
      <c r="I8" s="8" t="s">
        <v>307</v>
      </c>
      <c r="J8" s="8" t="s">
        <v>308</v>
      </c>
      <c r="K8" s="8" t="s">
        <v>309</v>
      </c>
      <c r="L8" s="8" t="s">
        <v>310</v>
      </c>
      <c r="M8" s="8" t="s">
        <v>311</v>
      </c>
      <c r="N8" s="8" t="s">
        <v>312</v>
      </c>
    </row>
    <row r="9" spans="1:15" ht="27.75" customHeight="1" x14ac:dyDescent="0.3">
      <c r="C9" s="9" t="s">
        <v>313</v>
      </c>
      <c r="E9" s="10" t="s">
        <v>611</v>
      </c>
      <c r="F9" s="10" t="s">
        <v>615</v>
      </c>
      <c r="G9" s="10" t="s">
        <v>613</v>
      </c>
      <c r="H9" s="10" t="s">
        <v>614</v>
      </c>
      <c r="I9" s="10" t="s">
        <v>612</v>
      </c>
      <c r="J9" s="10" t="s">
        <v>616</v>
      </c>
      <c r="K9" s="10" t="str">
        <f>IF(Discovery!C101&lt;&gt;"",Discovery!C101,"—")</f>
        <v>—</v>
      </c>
      <c r="L9" s="10" t="str">
        <f>IF(Discovery!C102&lt;&gt;"",Discovery!C102,"—")</f>
        <v>—</v>
      </c>
      <c r="M9" s="10" t="str">
        <f>IF(Discovery!C103&lt;&gt;"",Discovery!C103,"—")</f>
        <v>—</v>
      </c>
      <c r="N9" s="10" t="str">
        <f>IF(Discovery!C104&lt;&gt;"",Discovery!C104,"—")</f>
        <v>—</v>
      </c>
    </row>
    <row r="11" spans="1:15" ht="15" customHeight="1" x14ac:dyDescent="0.3">
      <c r="B11" s="231" t="s">
        <v>314</v>
      </c>
      <c r="C11" s="169"/>
      <c r="D11" s="169"/>
      <c r="E11" s="11"/>
      <c r="F11" s="11"/>
      <c r="G11" s="11"/>
      <c r="H11" s="11"/>
      <c r="I11" s="11"/>
      <c r="J11" s="11"/>
      <c r="K11" s="11"/>
      <c r="L11" s="11"/>
      <c r="M11" s="11"/>
      <c r="N11" s="11"/>
    </row>
    <row r="12" spans="1:15" ht="37.5" customHeight="1" x14ac:dyDescent="0.3">
      <c r="B12" s="12" t="s">
        <v>315</v>
      </c>
      <c r="C12" s="13" t="s">
        <v>316</v>
      </c>
      <c r="D12" s="14">
        <v>0.25</v>
      </c>
      <c r="E12" s="15" t="s">
        <v>618</v>
      </c>
      <c r="F12" s="15" t="s">
        <v>619</v>
      </c>
      <c r="G12" s="15" t="s">
        <v>620</v>
      </c>
      <c r="H12" s="15" t="s">
        <v>617</v>
      </c>
      <c r="I12" s="15" t="s">
        <v>617</v>
      </c>
      <c r="J12" s="15" t="s">
        <v>617</v>
      </c>
      <c r="K12" s="15"/>
      <c r="L12" s="15"/>
      <c r="M12" s="15"/>
      <c r="N12" s="15"/>
    </row>
    <row r="13" spans="1:15" ht="37.5" customHeight="1" x14ac:dyDescent="0.3">
      <c r="B13" s="12" t="s">
        <v>317</v>
      </c>
      <c r="C13" s="13" t="s">
        <v>318</v>
      </c>
      <c r="D13" s="14">
        <v>0.2</v>
      </c>
      <c r="E13" s="15" t="s">
        <v>621</v>
      </c>
      <c r="F13" s="15" t="s">
        <v>622</v>
      </c>
      <c r="G13" s="15" t="s">
        <v>624</v>
      </c>
      <c r="H13" s="15" t="s">
        <v>623</v>
      </c>
      <c r="I13" s="15" t="s">
        <v>624</v>
      </c>
      <c r="J13" s="15" t="s">
        <v>621</v>
      </c>
      <c r="K13" s="15"/>
      <c r="L13" s="15"/>
      <c r="M13" s="15"/>
      <c r="N13" s="15"/>
    </row>
    <row r="14" spans="1:15" ht="37.5" customHeight="1" x14ac:dyDescent="0.3">
      <c r="B14" s="12" t="s">
        <v>319</v>
      </c>
      <c r="C14" s="13" t="s">
        <v>320</v>
      </c>
      <c r="D14" s="14">
        <v>0.25</v>
      </c>
      <c r="E14" s="15" t="s">
        <v>625</v>
      </c>
      <c r="F14" s="15" t="s">
        <v>626</v>
      </c>
      <c r="G14" s="15" t="s">
        <v>625</v>
      </c>
      <c r="H14" s="15" t="s">
        <v>625</v>
      </c>
      <c r="I14" s="15" t="s">
        <v>627</v>
      </c>
      <c r="J14" s="15" t="s">
        <v>627</v>
      </c>
      <c r="K14" s="15"/>
      <c r="L14" s="15"/>
      <c r="M14" s="15"/>
      <c r="N14" s="15"/>
    </row>
    <row r="15" spans="1:15" ht="37.5" customHeight="1" x14ac:dyDescent="0.3">
      <c r="B15" s="12" t="s">
        <v>321</v>
      </c>
      <c r="C15" s="13" t="s">
        <v>322</v>
      </c>
      <c r="D15" s="14">
        <v>0.15</v>
      </c>
      <c r="E15" s="15" t="s">
        <v>628</v>
      </c>
      <c r="F15" s="15" t="s">
        <v>628</v>
      </c>
      <c r="G15" s="15" t="s">
        <v>628</v>
      </c>
      <c r="H15" s="15" t="s">
        <v>628</v>
      </c>
      <c r="I15" s="15" t="s">
        <v>629</v>
      </c>
      <c r="J15" s="15" t="s">
        <v>628</v>
      </c>
      <c r="K15" s="15"/>
      <c r="L15" s="15"/>
      <c r="M15" s="15"/>
      <c r="N15" s="15"/>
    </row>
    <row r="16" spans="1:15" ht="37.5" customHeight="1" x14ac:dyDescent="0.3">
      <c r="B16" s="12" t="s">
        <v>323</v>
      </c>
      <c r="C16" s="13" t="s">
        <v>324</v>
      </c>
      <c r="D16" s="14">
        <v>0.15</v>
      </c>
      <c r="E16" s="15" t="s">
        <v>630</v>
      </c>
      <c r="F16" s="15" t="s">
        <v>631</v>
      </c>
      <c r="G16" s="15" t="s">
        <v>630</v>
      </c>
      <c r="H16" s="15" t="s">
        <v>630</v>
      </c>
      <c r="I16" s="15" t="s">
        <v>630</v>
      </c>
      <c r="J16" s="15" t="s">
        <v>630</v>
      </c>
      <c r="K16" s="15"/>
      <c r="L16" s="15"/>
      <c r="M16" s="15"/>
      <c r="N16" s="15"/>
    </row>
    <row r="17" spans="2:14" ht="27.75" customHeight="1" x14ac:dyDescent="0.3">
      <c r="B17" s="16"/>
      <c r="C17" s="17" t="s">
        <v>325</v>
      </c>
      <c r="D17" s="16"/>
      <c r="E17" s="18">
        <f t="shared" ref="E17:N17" si="0">IF((IF(E12="",0,1)+IF(E13="",0,1)+IF(E14="",0,1)+IF(E15="",0,1)+IF(E16="",0,1))=0,"",(IF(E12="",0,VALUE(LEFT(E12,1))*$D$12)+IF(E13="",0,VALUE(LEFT(E13,1))*$D$13)+IF(E14="",0,VALUE(LEFT(E14,1))*$D$14)+IF(E15="",0,VALUE(LEFT(E15,1))*$D$15)+IF(E16="",0,VALUE(LEFT(E16,1))*$D$16))/(IF(E12="",0,$D$12)+IF(E13="",0,$D$13)+IF(E14="",0,$D$14)+IF(E15="",0,$D$15)+IF(E16="",0,$D$16)))</f>
        <v>3.25</v>
      </c>
      <c r="F17" s="18">
        <f t="shared" si="0"/>
        <v>4.5999999999999996</v>
      </c>
      <c r="G17" s="18">
        <f t="shared" si="0"/>
        <v>3.3</v>
      </c>
      <c r="H17" s="18">
        <f t="shared" si="0"/>
        <v>3.5999999999999996</v>
      </c>
      <c r="I17" s="18">
        <f t="shared" si="0"/>
        <v>3.0999999999999996</v>
      </c>
      <c r="J17" s="18">
        <f t="shared" si="0"/>
        <v>3.75</v>
      </c>
      <c r="K17" s="18" t="str">
        <f t="shared" si="0"/>
        <v/>
      </c>
      <c r="L17" s="18" t="str">
        <f t="shared" si="0"/>
        <v/>
      </c>
      <c r="M17" s="18" t="str">
        <f t="shared" si="0"/>
        <v/>
      </c>
      <c r="N17" s="18" t="str">
        <f t="shared" si="0"/>
        <v/>
      </c>
    </row>
    <row r="18" spans="2:14" ht="37.5" customHeight="1" x14ac:dyDescent="0.3">
      <c r="C18" s="234" t="s">
        <v>326</v>
      </c>
      <c r="D18" s="169"/>
      <c r="E18" s="169"/>
      <c r="F18" s="169"/>
      <c r="G18" s="169"/>
      <c r="H18" s="169"/>
      <c r="I18" s="169"/>
      <c r="J18" s="169"/>
      <c r="K18" s="169"/>
      <c r="L18" s="169"/>
      <c r="M18" s="169"/>
      <c r="N18" s="169"/>
    </row>
    <row r="20" spans="2:14" ht="15" customHeight="1" x14ac:dyDescent="0.3">
      <c r="B20" s="229" t="s">
        <v>327</v>
      </c>
      <c r="C20" s="169"/>
      <c r="D20" s="169"/>
      <c r="E20" s="19"/>
      <c r="F20" s="19"/>
      <c r="G20" s="19"/>
      <c r="H20" s="19"/>
      <c r="I20" s="19"/>
      <c r="J20" s="19"/>
      <c r="K20" s="19"/>
      <c r="L20" s="19"/>
      <c r="M20" s="19"/>
      <c r="N20" s="19"/>
    </row>
    <row r="21" spans="2:14" ht="37.5" customHeight="1" x14ac:dyDescent="0.3">
      <c r="B21" s="12" t="s">
        <v>328</v>
      </c>
      <c r="C21" s="13" t="s">
        <v>329</v>
      </c>
      <c r="D21" s="14">
        <v>0.25</v>
      </c>
      <c r="E21" s="15" t="s">
        <v>632</v>
      </c>
      <c r="F21" s="15" t="s">
        <v>633</v>
      </c>
      <c r="G21" s="15" t="s">
        <v>632</v>
      </c>
      <c r="H21" s="15" t="s">
        <v>632</v>
      </c>
      <c r="I21" s="15" t="s">
        <v>632</v>
      </c>
      <c r="J21" s="15" t="s">
        <v>634</v>
      </c>
      <c r="K21" s="15"/>
      <c r="L21" s="15"/>
      <c r="M21" s="15"/>
      <c r="N21" s="15"/>
    </row>
    <row r="22" spans="2:14" ht="37.5" customHeight="1" x14ac:dyDescent="0.3">
      <c r="B22" s="12" t="s">
        <v>330</v>
      </c>
      <c r="C22" s="13" t="s">
        <v>331</v>
      </c>
      <c r="D22" s="14">
        <v>0.2</v>
      </c>
      <c r="E22" s="15" t="s">
        <v>635</v>
      </c>
      <c r="F22" s="15" t="s">
        <v>635</v>
      </c>
      <c r="G22" s="15" t="s">
        <v>635</v>
      </c>
      <c r="H22" s="15" t="s">
        <v>635</v>
      </c>
      <c r="I22" s="15" t="s">
        <v>635</v>
      </c>
      <c r="J22" s="15" t="s">
        <v>635</v>
      </c>
      <c r="K22" s="15"/>
      <c r="L22" s="15"/>
      <c r="M22" s="15"/>
      <c r="N22" s="15"/>
    </row>
    <row r="23" spans="2:14" ht="37.5" customHeight="1" x14ac:dyDescent="0.3">
      <c r="B23" s="12" t="s">
        <v>332</v>
      </c>
      <c r="C23" s="13" t="s">
        <v>333</v>
      </c>
      <c r="D23" s="14">
        <v>0.2</v>
      </c>
      <c r="E23" s="15" t="s">
        <v>636</v>
      </c>
      <c r="F23" s="15" t="s">
        <v>637</v>
      </c>
      <c r="G23" s="15" t="s">
        <v>636</v>
      </c>
      <c r="H23" s="15" t="s">
        <v>636</v>
      </c>
      <c r="I23" s="15" t="s">
        <v>636</v>
      </c>
      <c r="J23" s="15" t="s">
        <v>636</v>
      </c>
      <c r="K23" s="15"/>
      <c r="L23" s="15"/>
      <c r="M23" s="15"/>
      <c r="N23" s="15"/>
    </row>
    <row r="24" spans="2:14" ht="37.5" customHeight="1" x14ac:dyDescent="0.3">
      <c r="B24" s="12" t="s">
        <v>334</v>
      </c>
      <c r="C24" s="13" t="s">
        <v>335</v>
      </c>
      <c r="D24" s="14">
        <v>0.15</v>
      </c>
      <c r="E24" s="15" t="s">
        <v>638</v>
      </c>
      <c r="F24" s="15" t="s">
        <v>639</v>
      </c>
      <c r="G24" s="15" t="s">
        <v>640</v>
      </c>
      <c r="H24" s="15" t="s">
        <v>640</v>
      </c>
      <c r="I24" s="15" t="s">
        <v>638</v>
      </c>
      <c r="J24" s="15" t="s">
        <v>640</v>
      </c>
      <c r="K24" s="15"/>
      <c r="L24" s="15"/>
      <c r="M24" s="15"/>
      <c r="N24" s="15"/>
    </row>
    <row r="25" spans="2:14" ht="37.5" customHeight="1" x14ac:dyDescent="0.3">
      <c r="B25" s="12" t="s">
        <v>336</v>
      </c>
      <c r="C25" s="13" t="s">
        <v>337</v>
      </c>
      <c r="D25" s="14">
        <v>0.2</v>
      </c>
      <c r="E25" s="15" t="s">
        <v>641</v>
      </c>
      <c r="F25" s="15" t="s">
        <v>641</v>
      </c>
      <c r="G25" s="15" t="s">
        <v>641</v>
      </c>
      <c r="H25" s="15" t="s">
        <v>641</v>
      </c>
      <c r="I25" s="15" t="s">
        <v>641</v>
      </c>
      <c r="J25" s="15" t="s">
        <v>641</v>
      </c>
      <c r="K25" s="15"/>
      <c r="L25" s="15"/>
      <c r="M25" s="15"/>
      <c r="N25" s="15"/>
    </row>
    <row r="26" spans="2:14" ht="27.75" customHeight="1" x14ac:dyDescent="0.3">
      <c r="B26" s="16"/>
      <c r="C26" s="20" t="s">
        <v>338</v>
      </c>
      <c r="D26" s="16"/>
      <c r="E26" s="21">
        <f t="shared" ref="E26:N26" si="1">IF((IF(E21="",0,1)+IF(E22="",0,1)+IF(E23="",0,1)+IF(E24="",0,1)+IF(E25="",0,1))=0,"",(IF(E21="",0,VALUE(LEFT(E21,1))*$D$21)+IF(E22="",0,VALUE(LEFT(E22,1))*$D$22)+IF(E23="",0,VALUE(LEFT(E23,1))*$D$23)+IF(E24="",0,VALUE(LEFT(E24,1))*$D$24)+IF(E25="",0,VALUE(LEFT(E25,1))*$D$25))/(IF(E21="",0,$D$21)+IF(E22="",0,$D$22)+IF(E23="",0,$D$23)+IF(E24="",0,$D$24)+IF(E25="",0,$D$25)))</f>
        <v>1.95</v>
      </c>
      <c r="F26" s="21">
        <f t="shared" si="1"/>
        <v>1</v>
      </c>
      <c r="G26" s="21">
        <f t="shared" si="1"/>
        <v>2.1</v>
      </c>
      <c r="H26" s="21">
        <f t="shared" si="1"/>
        <v>2.1</v>
      </c>
      <c r="I26" s="21">
        <f t="shared" si="1"/>
        <v>1.95</v>
      </c>
      <c r="J26" s="21">
        <f t="shared" si="1"/>
        <v>2.35</v>
      </c>
      <c r="K26" s="21" t="str">
        <f t="shared" si="1"/>
        <v/>
      </c>
      <c r="L26" s="21" t="str">
        <f t="shared" si="1"/>
        <v/>
      </c>
      <c r="M26" s="21" t="str">
        <f t="shared" si="1"/>
        <v/>
      </c>
      <c r="N26" s="21" t="str">
        <f t="shared" si="1"/>
        <v/>
      </c>
    </row>
    <row r="27" spans="2:14" ht="37.5" customHeight="1" x14ac:dyDescent="0.3">
      <c r="C27" s="233" t="s">
        <v>339</v>
      </c>
      <c r="D27" s="169"/>
      <c r="E27" s="169"/>
      <c r="F27" s="169"/>
      <c r="G27" s="169"/>
      <c r="H27" s="169"/>
      <c r="I27" s="169"/>
      <c r="J27" s="169"/>
      <c r="K27" s="169"/>
      <c r="L27" s="169"/>
      <c r="M27" s="169"/>
      <c r="N27" s="169"/>
    </row>
    <row r="29" spans="2:14" ht="15" customHeight="1" x14ac:dyDescent="0.3">
      <c r="B29" s="235" t="s">
        <v>340</v>
      </c>
      <c r="C29" s="169"/>
      <c r="D29" s="169"/>
      <c r="E29" s="22"/>
      <c r="F29" s="22"/>
      <c r="G29" s="22"/>
      <c r="H29" s="22"/>
      <c r="I29" s="22"/>
      <c r="J29" s="22"/>
      <c r="K29" s="22"/>
      <c r="L29" s="22"/>
      <c r="M29" s="22"/>
      <c r="N29" s="22"/>
    </row>
    <row r="30" spans="2:14" ht="27.75" customHeight="1" x14ac:dyDescent="0.3">
      <c r="B30" s="16"/>
      <c r="C30" s="23" t="s">
        <v>341</v>
      </c>
      <c r="D30" s="16"/>
      <c r="E30" s="24">
        <f t="shared" ref="E30:N30" si="2">IF(AND(E17="",E26=""),"",IF(E17="",E26,IF(E26="",E17,E17*0.5+E26*0.5)))</f>
        <v>2.6</v>
      </c>
      <c r="F30" s="24">
        <f t="shared" si="2"/>
        <v>2.8</v>
      </c>
      <c r="G30" s="24">
        <f t="shared" si="2"/>
        <v>2.7</v>
      </c>
      <c r="H30" s="24">
        <f t="shared" si="2"/>
        <v>2.8499999999999996</v>
      </c>
      <c r="I30" s="24">
        <f t="shared" si="2"/>
        <v>2.5249999999999999</v>
      </c>
      <c r="J30" s="24">
        <f t="shared" si="2"/>
        <v>3.05</v>
      </c>
      <c r="K30" s="24" t="str">
        <f t="shared" si="2"/>
        <v/>
      </c>
      <c r="L30" s="24" t="str">
        <f t="shared" si="2"/>
        <v/>
      </c>
      <c r="M30" s="24" t="str">
        <f t="shared" si="2"/>
        <v/>
      </c>
      <c r="N30" s="24" t="str">
        <f t="shared" si="2"/>
        <v/>
      </c>
    </row>
    <row r="31" spans="2:14" ht="27.75" customHeight="1" x14ac:dyDescent="0.3">
      <c r="B31" s="16"/>
      <c r="C31" s="23" t="s">
        <v>342</v>
      </c>
      <c r="D31" s="16"/>
      <c r="E31" s="25">
        <f t="shared" ref="E31:N31" si="3">IF(E30="","",RANK(E30,$E$30:$N$30,0))</f>
        <v>5</v>
      </c>
      <c r="F31" s="25">
        <f t="shared" si="3"/>
        <v>3</v>
      </c>
      <c r="G31" s="25">
        <f t="shared" si="3"/>
        <v>4</v>
      </c>
      <c r="H31" s="25">
        <f t="shared" si="3"/>
        <v>2</v>
      </c>
      <c r="I31" s="25">
        <f t="shared" si="3"/>
        <v>6</v>
      </c>
      <c r="J31" s="25">
        <f t="shared" si="3"/>
        <v>1</v>
      </c>
      <c r="K31" s="25" t="str">
        <f t="shared" si="3"/>
        <v/>
      </c>
      <c r="L31" s="25" t="str">
        <f t="shared" si="3"/>
        <v/>
      </c>
      <c r="M31" s="25" t="str">
        <f t="shared" si="3"/>
        <v/>
      </c>
      <c r="N31" s="25" t="str">
        <f t="shared" si="3"/>
        <v/>
      </c>
    </row>
    <row r="32" spans="2:14" ht="27.75" customHeight="1" x14ac:dyDescent="0.3">
      <c r="B32" s="16"/>
      <c r="C32" s="23" t="s">
        <v>343</v>
      </c>
      <c r="D32" s="16"/>
      <c r="E32" s="26" t="str">
        <f t="shared" ref="E32:N32" si="4">IF(E30="","",IF(E30&gt;=4,"✅ Pursue",IF(E30&gt;=3,"🔍 Investigate",IF(E30&gt;=2,"⏸️ Park","❌ Drop"))))</f>
        <v>⏸️ Park</v>
      </c>
      <c r="F32" s="26" t="str">
        <f t="shared" si="4"/>
        <v>⏸️ Park</v>
      </c>
      <c r="G32" s="26" t="str">
        <f t="shared" si="4"/>
        <v>⏸️ Park</v>
      </c>
      <c r="H32" s="26" t="str">
        <f t="shared" si="4"/>
        <v>⏸️ Park</v>
      </c>
      <c r="I32" s="26" t="str">
        <f t="shared" si="4"/>
        <v>⏸️ Park</v>
      </c>
      <c r="J32" s="26" t="str">
        <f t="shared" si="4"/>
        <v>🔍 Investigate</v>
      </c>
      <c r="K32" s="26" t="str">
        <f t="shared" si="4"/>
        <v/>
      </c>
      <c r="L32" s="26" t="str">
        <f t="shared" si="4"/>
        <v/>
      </c>
      <c r="M32" s="26" t="str">
        <f t="shared" si="4"/>
        <v/>
      </c>
      <c r="N32" s="26" t="str">
        <f t="shared" si="4"/>
        <v/>
      </c>
    </row>
    <row r="33" spans="3:14" ht="37.5" customHeight="1" x14ac:dyDescent="0.3"/>
    <row r="34" spans="3:14" ht="49.5" customHeight="1" x14ac:dyDescent="0.3">
      <c r="C34" s="230" t="s">
        <v>609</v>
      </c>
      <c r="D34" s="169"/>
      <c r="E34" s="169"/>
      <c r="F34" s="169"/>
      <c r="G34" s="169"/>
      <c r="H34" s="169"/>
      <c r="I34" s="169"/>
      <c r="J34" s="169"/>
      <c r="K34" s="169"/>
      <c r="L34" s="169"/>
      <c r="M34" s="169"/>
      <c r="N34" s="169"/>
    </row>
  </sheetData>
  <mergeCells count="10">
    <mergeCell ref="B3:N3"/>
    <mergeCell ref="B2:N2"/>
    <mergeCell ref="B20:D20"/>
    <mergeCell ref="C34:N34"/>
    <mergeCell ref="B11:D11"/>
    <mergeCell ref="B5:N5"/>
    <mergeCell ref="C27:N27"/>
    <mergeCell ref="C18:N18"/>
    <mergeCell ref="B29:D29"/>
    <mergeCell ref="B6:N6"/>
  </mergeCells>
  <dataValidations count="10">
    <dataValidation type="list" allowBlank="1" sqref="E12:N12" xr:uid="{00000000-0002-0000-0200-000000000000}">
      <formula1>"1 — Nice to have,2 — Loosely connected,3 — Supports a business goal,4 — Tied to a priority,5 — Top-3 initiative"</formula1>
      <formula2>0</formula2>
    </dataValidation>
    <dataValidation type="list" allowBlank="1" sqref="E13:N13" xr:uid="{00000000-0002-0000-0200-000001000000}">
      <formula1>"1 — Data doesn't exist,2 — Needs major cleanup,3 — Some integration needed,4 — APIs mostly ready,5 — Clean and ready"</formula1>
      <formula2>0</formula2>
    </dataValidation>
    <dataValidation type="list" allowBlank="1" sqref="E14:N14" xr:uid="{00000000-0002-0000-0200-000002000000}">
      <formula1>"1 — Doesn't exist yet,2 — Major custom work,3 — Needs new tools/skills,4 — Current tools work,5 — Prototype in 1–2 wks"</formula1>
      <formula2>0</formula2>
    </dataValidation>
    <dataValidation type="list" allowBlank="1" sqref="E15:N15" xr:uid="{00000000-0002-0000-0200-000003000000}">
      <formula1>"1 — Autonomy/risk clash,2 — Hard to govern,3 — Moderate oversight,4 — Clear guardrails,5 — Low-risk full autonomy"</formula1>
      <formula2>0</formula2>
    </dataValidation>
    <dataValidation type="list" allowBlank="1" sqref="E16:N16" xr:uid="{00000000-0002-0000-0200-000004000000}">
      <formula1>"1 — 6+ months to value,2 — 3–6 months to value,3 — 1–3 months to value,4 — Weeks to first value,5 — Value within days"</formula1>
      <formula2>0</formula2>
    </dataValidation>
    <dataValidation type="list" allowBlank="1" sqref="E21:N21" xr:uid="{00000000-0002-0000-0200-000005000000}">
      <formula1>"1 — Under 2 hrs/wk,2 — 2–5 hrs/wk,3 — 5–15 hrs/wk,4 — 15–30 hrs/wk,5 — 30+ hrs/wk saved"</formula1>
      <formula2>0</formula2>
    </dataValidation>
    <dataValidation type="list" allowBlank="1" sqref="E22:N22" xr:uid="{00000000-0002-0000-0200-000006000000}">
      <formula1>"1 — Negligible,2 — Under $25K/yr,3 — $25K–$75K/yr,4 — $75K–$200K/yr,5 — Over $200K/yr"</formula1>
      <formula2>0</formula2>
    </dataValidation>
    <dataValidation type="list" allowBlank="1" sqref="E23:N23" xr:uid="{00000000-0002-0000-0200-000007000000}">
      <formula1>"1 — Rare &amp; minor,2 — Occasional minor,3 — Regular moderate,4 — Frequent real cost,5 — High rate severe"</formula1>
      <formula2>0</formula2>
    </dataValidation>
    <dataValidation type="list" allowBlank="1" sqref="E24:N24" xr:uid="{00000000-0002-0000-0200-000008000000}">
      <formula1>"1 — No revenue link,2 — Indirect support,3 — Faster cycles,4 — Accelerates revenue,5 — New revenue streams"</formula1>
      <formula2>0</formula2>
    </dataValidation>
    <dataValidation type="list" allowBlank="1" sqref="E25:N25" xr:uid="{00000000-0002-0000-0200-000009000000}">
      <formula1>"1 — One person,2 — Small team (2–5),3 — Department (10–50),4 — Organization-wide,5 — 100+ users/processes"</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2626"/>
  </sheetPr>
  <dimension ref="A1:J30"/>
  <sheetViews>
    <sheetView topLeftCell="A7" zoomScaleNormal="100" workbookViewId="0">
      <selection activeCell="J17" sqref="J17"/>
    </sheetView>
  </sheetViews>
  <sheetFormatPr defaultColWidth="8.6640625" defaultRowHeight="14.4" x14ac:dyDescent="0.3"/>
  <cols>
    <col min="1" max="1" width="2" customWidth="1"/>
    <col min="2" max="2" width="5" customWidth="1"/>
    <col min="3" max="3" width="24" customWidth="1"/>
    <col min="4" max="4" width="44" customWidth="1"/>
    <col min="5" max="9" width="20" customWidth="1"/>
  </cols>
  <sheetData>
    <row r="1" spans="1:10" ht="15" customHeight="1" x14ac:dyDescent="0.3">
      <c r="A1" s="1"/>
      <c r="B1" s="1"/>
      <c r="C1" s="1"/>
      <c r="D1" s="1"/>
      <c r="E1" s="1"/>
      <c r="F1" s="1"/>
      <c r="G1" s="1"/>
      <c r="H1" s="1"/>
      <c r="I1" s="1"/>
      <c r="J1" s="1"/>
    </row>
    <row r="2" spans="1:10" ht="42" customHeight="1" x14ac:dyDescent="0.35">
      <c r="A2" s="120"/>
      <c r="B2" s="240" t="s">
        <v>344</v>
      </c>
      <c r="C2" s="241"/>
      <c r="D2" s="241"/>
      <c r="E2" s="241"/>
      <c r="F2" s="241"/>
      <c r="G2" s="241"/>
      <c r="H2" s="241"/>
      <c r="I2" s="241"/>
      <c r="J2" s="120"/>
    </row>
    <row r="3" spans="1:10" ht="15" customHeight="1" x14ac:dyDescent="0.3">
      <c r="A3" s="1"/>
      <c r="B3" s="227" t="s">
        <v>345</v>
      </c>
      <c r="C3" s="169"/>
      <c r="D3" s="169"/>
      <c r="E3" s="169"/>
      <c r="F3" s="169"/>
      <c r="G3" s="169"/>
      <c r="H3" s="169"/>
      <c r="I3" s="169"/>
      <c r="J3" s="1"/>
    </row>
    <row r="5" spans="1:10" ht="60" customHeight="1" x14ac:dyDescent="0.3">
      <c r="B5" s="232" t="s">
        <v>610</v>
      </c>
      <c r="C5" s="169"/>
      <c r="D5" s="169"/>
      <c r="E5" s="169"/>
      <c r="F5" s="169"/>
      <c r="G5" s="169"/>
      <c r="H5" s="169"/>
      <c r="I5" s="169"/>
    </row>
    <row r="6" spans="1:10" ht="15" customHeight="1" x14ac:dyDescent="0.3">
      <c r="B6" s="239" t="s">
        <v>346</v>
      </c>
      <c r="C6" s="169"/>
      <c r="D6" s="169"/>
      <c r="E6" s="169"/>
      <c r="F6" s="169"/>
      <c r="G6" s="169"/>
      <c r="H6" s="169"/>
      <c r="I6" s="169"/>
    </row>
    <row r="8" spans="1:10" ht="15" customHeight="1" x14ac:dyDescent="0.3">
      <c r="B8" s="27" t="s">
        <v>104</v>
      </c>
      <c r="C8" s="28" t="s">
        <v>347</v>
      </c>
      <c r="D8" s="28" t="s">
        <v>348</v>
      </c>
      <c r="E8" s="29" t="s">
        <v>349</v>
      </c>
      <c r="F8" s="29" t="s">
        <v>350</v>
      </c>
      <c r="G8" s="29" t="s">
        <v>351</v>
      </c>
      <c r="H8" s="29" t="s">
        <v>352</v>
      </c>
      <c r="I8" s="29" t="s">
        <v>353</v>
      </c>
    </row>
    <row r="9" spans="1:10" ht="15" customHeight="1" x14ac:dyDescent="0.3">
      <c r="C9" s="9" t="s">
        <v>354</v>
      </c>
      <c r="E9" s="30" t="str">
        <f>IFERROR(INDEX(Scoring!$E$9:$N$9,1,MATCH(1,Scoring!$E$31:$N$31,0)),"")</f>
        <v>Travel Agent</v>
      </c>
      <c r="F9" s="30" t="str">
        <f>IFERROR(INDEX(Scoring!$E$9:$N$9,1,MATCH(2,Scoring!$E$31:$N$31,0)),"")</f>
        <v>Real Estate Franchisee</v>
      </c>
      <c r="G9" s="30" t="str">
        <f>IFERROR(INDEX(Scoring!$E$9:$N$9,1,MATCH(3,Scoring!$E$31:$N$31,0)),"")</f>
        <v>News Letter - Daily Quotes</v>
      </c>
      <c r="H9" s="30" t="str">
        <f>IFERROR(INDEX(Scoring!$E$9:$N$9,1,MATCH(4,Scoring!$E$31:$N$31,0)),"")</f>
        <v>Real Estate Searcher</v>
      </c>
      <c r="I9" s="30" t="str">
        <f>IFERROR(INDEX(Scoring!$E$9:$N$9,1,MATCH(5,Scoring!$E$31:$N$31,0)),"")</f>
        <v>Stock Market Guide</v>
      </c>
    </row>
    <row r="11" spans="1:10" ht="51.75" customHeight="1" x14ac:dyDescent="0.3">
      <c r="B11" s="31" t="s">
        <v>355</v>
      </c>
      <c r="C11" s="32" t="s">
        <v>356</v>
      </c>
      <c r="D11" s="33" t="s">
        <v>357</v>
      </c>
      <c r="E11" s="15" t="s">
        <v>643</v>
      </c>
      <c r="F11" s="15" t="s">
        <v>644</v>
      </c>
      <c r="G11" s="15" t="s">
        <v>642</v>
      </c>
      <c r="H11" s="15" t="s">
        <v>644</v>
      </c>
      <c r="I11" s="15" t="s">
        <v>644</v>
      </c>
    </row>
    <row r="12" spans="1:10" ht="51.75" customHeight="1" x14ac:dyDescent="0.3">
      <c r="B12" s="31" t="s">
        <v>358</v>
      </c>
      <c r="C12" s="32" t="s">
        <v>359</v>
      </c>
      <c r="D12" s="33" t="s">
        <v>360</v>
      </c>
      <c r="E12" s="15" t="s">
        <v>645</v>
      </c>
      <c r="F12" s="15" t="s">
        <v>645</v>
      </c>
      <c r="G12" s="15" t="s">
        <v>428</v>
      </c>
      <c r="H12" s="15" t="s">
        <v>645</v>
      </c>
      <c r="I12" s="15" t="s">
        <v>645</v>
      </c>
    </row>
    <row r="13" spans="1:10" ht="51.75" customHeight="1" x14ac:dyDescent="0.3">
      <c r="B13" s="31" t="s">
        <v>361</v>
      </c>
      <c r="C13" s="32" t="s">
        <v>362</v>
      </c>
      <c r="D13" s="33" t="s">
        <v>363</v>
      </c>
      <c r="E13" s="15" t="s">
        <v>646</v>
      </c>
      <c r="F13" s="15" t="s">
        <v>647</v>
      </c>
      <c r="G13" s="15" t="s">
        <v>646</v>
      </c>
      <c r="H13" s="15" t="s">
        <v>647</v>
      </c>
      <c r="I13" s="15" t="s">
        <v>648</v>
      </c>
    </row>
    <row r="14" spans="1:10" ht="51.75" customHeight="1" x14ac:dyDescent="0.3">
      <c r="B14" s="31" t="s">
        <v>364</v>
      </c>
      <c r="C14" s="32" t="s">
        <v>365</v>
      </c>
      <c r="D14" s="33" t="s">
        <v>366</v>
      </c>
      <c r="E14" s="15" t="s">
        <v>649</v>
      </c>
      <c r="F14" s="15" t="s">
        <v>649</v>
      </c>
      <c r="G14" s="15" t="s">
        <v>649</v>
      </c>
      <c r="H14" s="15" t="s">
        <v>649</v>
      </c>
      <c r="I14" s="15" t="s">
        <v>649</v>
      </c>
    </row>
    <row r="15" spans="1:10" ht="51.75" customHeight="1" x14ac:dyDescent="0.3">
      <c r="B15" s="31" t="s">
        <v>367</v>
      </c>
      <c r="C15" s="32" t="s">
        <v>368</v>
      </c>
      <c r="D15" s="33" t="s">
        <v>369</v>
      </c>
      <c r="E15" s="15" t="s">
        <v>650</v>
      </c>
      <c r="F15" s="15" t="s">
        <v>651</v>
      </c>
      <c r="G15" s="15" t="s">
        <v>652</v>
      </c>
      <c r="H15" s="15" t="s">
        <v>651</v>
      </c>
      <c r="I15" s="15" t="s">
        <v>651</v>
      </c>
    </row>
    <row r="16" spans="1:10" ht="51.75" customHeight="1" x14ac:dyDescent="0.3">
      <c r="B16" s="31" t="s">
        <v>370</v>
      </c>
      <c r="C16" s="32" t="s">
        <v>371</v>
      </c>
      <c r="D16" s="33" t="s">
        <v>372</v>
      </c>
      <c r="E16" s="15" t="s">
        <v>653</v>
      </c>
      <c r="F16" s="15" t="s">
        <v>654</v>
      </c>
      <c r="G16" s="15" t="s">
        <v>655</v>
      </c>
      <c r="H16" s="15" t="s">
        <v>654</v>
      </c>
      <c r="I16" s="15" t="s">
        <v>653</v>
      </c>
    </row>
    <row r="17" spans="2:9" ht="51.75" customHeight="1" x14ac:dyDescent="0.3">
      <c r="B17" s="31" t="s">
        <v>373</v>
      </c>
      <c r="C17" s="32" t="s">
        <v>374</v>
      </c>
      <c r="D17" s="33" t="s">
        <v>375</v>
      </c>
      <c r="E17" s="15" t="s">
        <v>656</v>
      </c>
      <c r="F17" s="15" t="s">
        <v>657</v>
      </c>
      <c r="G17" s="15" t="s">
        <v>658</v>
      </c>
      <c r="H17" s="15" t="s">
        <v>656</v>
      </c>
      <c r="I17" s="15" t="s">
        <v>657</v>
      </c>
    </row>
    <row r="19" spans="2:9" ht="30" customHeight="1" x14ac:dyDescent="0.3">
      <c r="B19" s="16"/>
      <c r="C19" s="34" t="s">
        <v>376</v>
      </c>
      <c r="D19" s="35" t="s">
        <v>377</v>
      </c>
      <c r="E19" s="36">
        <f>IF((IF(E11="",0,1)+IF(E12="",0,1)+IF(E13="",0,1)+IF(E14="",0,1)+IF(E15="",0,1)+IF(E16="",0,1)+IF(E17="",0,1))=0,"",(IF(E11="",0,VALUE(LEFT(E11,1)))+IF(E12="",0,VALUE(LEFT(E12,1)))+IF(E13="",0,VALUE(LEFT(E13,1)))+IF(E14="",0,VALUE(LEFT(E14,1)))+IF(E15="",0,VALUE(LEFT(E15,1)))+IF(E16="",0,VALUE(LEFT(E16,1)))+IF(E17="",0,VALUE(LEFT(E17,1))))/(IF(E11="",0,1)+IF(E12="",0,1)+IF(E13="",0,1)+IF(E14="",0,1)+IF(E15="",0,1)+IF(E16="",0,1)+IF(E17="",0,1)))</f>
        <v>2.4285714285714284</v>
      </c>
      <c r="F19" s="36">
        <f>IF((IF(F11="",0,1)+IF(F12="",0,1)+IF(F13="",0,1)+IF(F14="",0,1)+IF(F15="",0,1)+IF(F16="",0,1)+IF(F17="",0,1))=0,"",(IF(F11="",0,VALUE(LEFT(F11,1)))+IF(F12="",0,VALUE(LEFT(F12,1)))+IF(F13="",0,VALUE(LEFT(F13,1)))+IF(F14="",0,VALUE(LEFT(F14,1)))+IF(F15="",0,VALUE(LEFT(F15,1)))+IF(F16="",0,VALUE(LEFT(F16,1)))+IF(F17="",0,VALUE(LEFT(F17,1))))/(IF(F11="",0,1)+IF(F12="",0,1)+IF(F13="",0,1)+IF(F14="",0,1)+IF(F15="",0,1)+IF(F16="",0,1)+IF(F17="",0,1)))</f>
        <v>3.2857142857142856</v>
      </c>
      <c r="G19" s="36">
        <f>IF((IF(G11="",0,1)+IF(G12="",0,1)+IF(G13="",0,1)+IF(G14="",0,1)+IF(G15="",0,1)+IF(G16="",0,1)+IF(G17="",0,1))=0,"",(IF(G11="",0,VALUE(LEFT(G11,1)))+IF(G12="",0,VALUE(LEFT(G12,1)))+IF(G13="",0,VALUE(LEFT(G13,1)))+IF(G14="",0,VALUE(LEFT(G14,1)))+IF(G15="",0,VALUE(LEFT(G15,1)))+IF(G16="",0,VALUE(LEFT(G16,1)))+IF(G17="",0,VALUE(LEFT(G17,1))))/(IF(G11="",0,1)+IF(G12="",0,1)+IF(G13="",0,1)+IF(G14="",0,1)+IF(G15="",0,1)+IF(G16="",0,1)+IF(G17="",0,1)))</f>
        <v>1.1428571428571428</v>
      </c>
      <c r="H19" s="36">
        <f>IF((IF(H11="",0,1)+IF(H12="",0,1)+IF(H13="",0,1)+IF(H14="",0,1)+IF(H15="",0,1)+IF(H16="",0,1)+IF(H17="",0,1))=0,"",(IF(H11="",0,VALUE(LEFT(H11,1)))+IF(H12="",0,VALUE(LEFT(H12,1)))+IF(H13="",0,VALUE(LEFT(H13,1)))+IF(H14="",0,VALUE(LEFT(H14,1)))+IF(H15="",0,VALUE(LEFT(H15,1)))+IF(H16="",0,VALUE(LEFT(H16,1)))+IF(H17="",0,VALUE(LEFT(H17,1))))/(IF(H11="",0,1)+IF(H12="",0,1)+IF(H13="",0,1)+IF(H14="",0,1)+IF(H15="",0,1)+IF(H16="",0,1)+IF(H17="",0,1)))</f>
        <v>3</v>
      </c>
      <c r="I19" s="36">
        <f>IF((IF(I11="",0,1)+IF(I12="",0,1)+IF(I13="",0,1)+IF(I14="",0,1)+IF(I15="",0,1)+IF(I16="",0,1)+IF(I17="",0,1))=0,"",(IF(I11="",0,VALUE(LEFT(I11,1)))+IF(I12="",0,VALUE(LEFT(I12,1)))+IF(I13="",0,VALUE(LEFT(I13,1)))+IF(I14="",0,VALUE(LEFT(I14,1)))+IF(I15="",0,VALUE(LEFT(I15,1)))+IF(I16="",0,VALUE(LEFT(I16,1)))+IF(I17="",0,VALUE(LEFT(I17,1))))/(IF(I11="",0,1)+IF(I12="",0,1)+IF(I13="",0,1)+IF(I14="",0,1)+IF(I15="",0,1)+IF(I16="",0,1)+IF(I17="",0,1)))</f>
        <v>3.2857142857142856</v>
      </c>
    </row>
    <row r="20" spans="2:9" ht="30" customHeight="1" x14ac:dyDescent="0.3">
      <c r="B20" s="16"/>
      <c r="C20" s="23" t="s">
        <v>378</v>
      </c>
      <c r="D20" s="16"/>
      <c r="E20" s="26" t="str">
        <f>IF(E19="","",IF(E19&lt;=2,"🟢 Low",IF(E19&lt;=3.5,"🟡 Medium","🔴 High")))</f>
        <v>🟡 Medium</v>
      </c>
      <c r="F20" s="26" t="str">
        <f>IF(F19="","",IF(F19&lt;=2,"🟢 Low",IF(F19&lt;=3.5,"🟡 Medium","🔴 High")))</f>
        <v>🟡 Medium</v>
      </c>
      <c r="G20" s="26" t="str">
        <f>IF(G19="","",IF(G19&lt;=2,"🟢 Low",IF(G19&lt;=3.5,"🟡 Medium","🔴 High")))</f>
        <v>🟢 Low</v>
      </c>
      <c r="H20" s="26" t="str">
        <f>IF(H19="","",IF(H19&lt;=2,"🟢 Low",IF(H19&lt;=3.5,"🟡 Medium","🔴 High")))</f>
        <v>🟡 Medium</v>
      </c>
      <c r="I20" s="26" t="str">
        <f>IF(I19="","",IF(I19&lt;=2,"🟢 Low",IF(I19&lt;=3.5,"🟡 Medium","🔴 High")))</f>
        <v>🟡 Medium</v>
      </c>
    </row>
    <row r="21" spans="2:9" ht="30" customHeight="1" x14ac:dyDescent="0.3">
      <c r="B21" s="16"/>
      <c r="C21" s="23" t="s">
        <v>379</v>
      </c>
      <c r="D21" s="16"/>
      <c r="E21" s="37" t="str">
        <f>IF(E19="","",IF(E19&lt;=2,"Full Autonomy",IF(E19&lt;=3.5,"Supervised Execution","Human-Required")))</f>
        <v>Supervised Execution</v>
      </c>
      <c r="F21" s="37" t="str">
        <f>IF(F19="","",IF(F19&lt;=2,"Full Autonomy",IF(F19&lt;=3.5,"Supervised Execution","Human-Required")))</f>
        <v>Supervised Execution</v>
      </c>
      <c r="G21" s="37" t="str">
        <f>IF(G19="","",IF(G19&lt;=2,"Full Autonomy",IF(G19&lt;=3.5,"Supervised Execution","Human-Required")))</f>
        <v>Full Autonomy</v>
      </c>
      <c r="H21" s="37" t="str">
        <f>IF(H19="","",IF(H19&lt;=2,"Full Autonomy",IF(H19&lt;=3.5,"Supervised Execution","Human-Required")))</f>
        <v>Supervised Execution</v>
      </c>
      <c r="I21" s="37" t="str">
        <f>IF(I19="","",IF(I19&lt;=2,"Full Autonomy",IF(I19&lt;=3.5,"Supervised Execution","Human-Required")))</f>
        <v>Supervised Execution</v>
      </c>
    </row>
    <row r="23" spans="2:9" ht="69.75" customHeight="1" x14ac:dyDescent="0.3">
      <c r="B23" s="242" t="s">
        <v>380</v>
      </c>
      <c r="C23" s="169"/>
      <c r="D23" s="169"/>
      <c r="E23" s="169"/>
      <c r="F23" s="169"/>
      <c r="G23" s="169"/>
      <c r="H23" s="169"/>
      <c r="I23" s="169"/>
    </row>
    <row r="26" spans="2:9" ht="15.75" customHeight="1" x14ac:dyDescent="0.3">
      <c r="B26" s="243" t="s">
        <v>381</v>
      </c>
      <c r="C26" s="244"/>
      <c r="D26" s="244"/>
      <c r="E26" s="244"/>
      <c r="F26" s="244"/>
      <c r="G26" s="244"/>
      <c r="H26" s="244"/>
      <c r="I26" s="244"/>
    </row>
    <row r="28" spans="2:9" ht="42" customHeight="1" x14ac:dyDescent="0.3">
      <c r="C28" s="38" t="s">
        <v>382</v>
      </c>
      <c r="D28" s="39" t="s">
        <v>383</v>
      </c>
      <c r="E28" s="237" t="s">
        <v>384</v>
      </c>
      <c r="F28" s="238"/>
      <c r="G28" s="238"/>
      <c r="H28" s="238"/>
      <c r="I28" s="238"/>
    </row>
    <row r="29" spans="2:9" ht="42" customHeight="1" x14ac:dyDescent="0.3">
      <c r="C29" s="38" t="s">
        <v>385</v>
      </c>
      <c r="D29" s="39" t="s">
        <v>386</v>
      </c>
      <c r="E29" s="237" t="s">
        <v>387</v>
      </c>
      <c r="F29" s="238"/>
      <c r="G29" s="238"/>
      <c r="H29" s="238"/>
      <c r="I29" s="238"/>
    </row>
    <row r="30" spans="2:9" ht="42" customHeight="1" x14ac:dyDescent="0.3">
      <c r="C30" s="38" t="s">
        <v>388</v>
      </c>
      <c r="D30" s="39" t="s">
        <v>389</v>
      </c>
      <c r="E30" s="237" t="s">
        <v>390</v>
      </c>
      <c r="F30" s="238"/>
      <c r="G30" s="238"/>
      <c r="H30" s="238"/>
      <c r="I30" s="238"/>
    </row>
  </sheetData>
  <mergeCells count="9">
    <mergeCell ref="E30:I30"/>
    <mergeCell ref="E29:I29"/>
    <mergeCell ref="B6:I6"/>
    <mergeCell ref="B2:I2"/>
    <mergeCell ref="E28:I28"/>
    <mergeCell ref="B3:I3"/>
    <mergeCell ref="B5:I5"/>
    <mergeCell ref="B23:I23"/>
    <mergeCell ref="B26:I26"/>
  </mergeCells>
  <dataValidations count="7">
    <dataValidation type="list" allowBlank="1" sqref="E11:I11" xr:uid="{00000000-0002-0000-0300-000000000000}">
      <formula1>"1 — Easily corrected,2 — Minor rework,3 — Moderate cost/impact,4 — Significant damage,5 — Legal/safety/severe"</formula1>
      <formula2>0</formula2>
    </dataValidation>
    <dataValidation type="list" allowBlank="1" sqref="E12:I12" xr:uid="{00000000-0002-0000-0300-000001000000}">
      <formula1>"1 — Public data only,2 — Internal non-sensitive,3 — Some personal data,4 — PII/financial/health,5 — Classified/regulated"</formula1>
      <formula2>0</formula2>
    </dataValidation>
    <dataValidation type="list" allowBlank="1" sqref="E13:I13" xr:uid="{00000000-0002-0000-0300-000002000000}">
      <formula1>"1 — No regulation,2 — Internal policies,3 — SOC 2 / ISO,4 — HIPAA / PCI,5 — Heavy multi-regulation"</formula1>
      <formula2>0</formula2>
    </dataValidation>
    <dataValidation type="list" allowBlank="1" sqref="E14:I14" xr:uid="{00000000-0002-0000-0300-000003000000}">
      <formula1>"1 — Team ready,2 — Some skill gaps,3 — Moderate gaps,4 — Significant barriers,5 — Org not ready"</formula1>
      <formula2>0</formula2>
    </dataValidation>
    <dataValidation type="list" allowBlank="1" sqref="E15:I15" xr:uid="{00000000-0002-0000-0300-000004000000}">
      <formula1>"1 — Verifiable outputs,2 — Spot-checkable,3 — Some hard to verify,4 — Needs expert review,5 — Errors look correct"</formula1>
      <formula2>0</formula2>
    </dataValidation>
    <dataValidation type="list" allowBlank="1" sqref="E16:I16" xr:uid="{00000000-0002-0000-0300-000005000000}">
      <formula1>"1 — Single stable API,2 — 2 systems documented,3 — 3–4 systems some fragile,4 — 5+ mixed quality,5 — Many brittle APIs"</formula1>
      <formula2>0</formula2>
    </dataValidation>
    <dataValidation type="list" allowBlank="1" sqref="E17:I17" xr:uid="{00000000-0002-0000-0300-000006000000}">
      <formula1>"1 — Stable rarely changes,2 — Quarterly predictable,3 — Monthly manageable,4 — Frequent hard to track,5 — Constant flux"</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3AED"/>
  </sheetPr>
  <dimension ref="A1:K29"/>
  <sheetViews>
    <sheetView topLeftCell="A8" zoomScaleNormal="100" workbookViewId="0">
      <selection activeCell="L15" sqref="L15"/>
    </sheetView>
  </sheetViews>
  <sheetFormatPr defaultColWidth="8.6640625" defaultRowHeight="14.4" x14ac:dyDescent="0.3"/>
  <cols>
    <col min="1" max="1" width="2" customWidth="1"/>
    <col min="2" max="2" width="8" customWidth="1"/>
    <col min="3" max="3" width="22" customWidth="1"/>
    <col min="4" max="7" width="12" customWidth="1"/>
    <col min="8" max="9" width="20" customWidth="1"/>
    <col min="10" max="10" width="16" customWidth="1"/>
    <col min="11" max="11" width="12" customWidth="1"/>
  </cols>
  <sheetData>
    <row r="1" spans="1:11" ht="15" customHeight="1" x14ac:dyDescent="0.3">
      <c r="A1" s="1"/>
      <c r="B1" s="1"/>
      <c r="C1" s="1"/>
      <c r="D1" s="1"/>
      <c r="E1" s="1"/>
      <c r="F1" s="1"/>
      <c r="G1" s="1"/>
      <c r="H1" s="1"/>
      <c r="I1" s="1"/>
      <c r="J1" s="1"/>
    </row>
    <row r="2" spans="1:11" ht="42" customHeight="1" x14ac:dyDescent="0.35">
      <c r="A2" s="79"/>
      <c r="B2" s="245" t="s">
        <v>391</v>
      </c>
      <c r="C2" s="189"/>
      <c r="D2" s="189"/>
      <c r="E2" s="189"/>
      <c r="F2" s="189"/>
      <c r="G2" s="189"/>
      <c r="H2" s="189"/>
      <c r="I2" s="189"/>
      <c r="J2" s="79"/>
      <c r="K2" s="79"/>
    </row>
    <row r="3" spans="1:11" ht="15" customHeight="1" x14ac:dyDescent="0.3">
      <c r="A3" s="1"/>
      <c r="B3" s="250" t="s">
        <v>392</v>
      </c>
      <c r="C3" s="169"/>
      <c r="D3" s="169"/>
      <c r="E3" s="169"/>
      <c r="F3" s="169"/>
      <c r="G3" s="169"/>
      <c r="H3" s="169"/>
      <c r="I3" s="169"/>
      <c r="J3" s="1"/>
    </row>
    <row r="5" spans="1:11" ht="48" customHeight="1" x14ac:dyDescent="0.3">
      <c r="B5" s="221" t="s">
        <v>393</v>
      </c>
      <c r="C5" s="169"/>
      <c r="D5" s="169"/>
      <c r="E5" s="169"/>
      <c r="F5" s="169"/>
      <c r="G5" s="169"/>
      <c r="H5" s="169"/>
      <c r="I5" s="169"/>
    </row>
    <row r="6" spans="1:11" ht="15.75" customHeight="1" x14ac:dyDescent="0.3">
      <c r="B6" s="243" t="s">
        <v>394</v>
      </c>
      <c r="C6" s="244"/>
      <c r="D6" s="244"/>
      <c r="E6" s="244"/>
      <c r="F6" s="244"/>
      <c r="G6" s="244"/>
      <c r="H6" s="244"/>
      <c r="I6" s="244"/>
    </row>
    <row r="8" spans="1:11" ht="48" customHeight="1" x14ac:dyDescent="0.3">
      <c r="B8" s="246" t="s">
        <v>395</v>
      </c>
      <c r="C8" s="238"/>
      <c r="D8" s="249" t="s">
        <v>396</v>
      </c>
      <c r="E8" s="238"/>
      <c r="F8" s="237" t="s">
        <v>397</v>
      </c>
      <c r="G8" s="238"/>
      <c r="H8" s="238"/>
      <c r="I8" s="238"/>
    </row>
    <row r="9" spans="1:11" ht="48" customHeight="1" x14ac:dyDescent="0.3">
      <c r="B9" s="248" t="s">
        <v>398</v>
      </c>
      <c r="C9" s="238"/>
      <c r="D9" s="249" t="s">
        <v>399</v>
      </c>
      <c r="E9" s="238"/>
      <c r="F9" s="237" t="s">
        <v>400</v>
      </c>
      <c r="G9" s="238"/>
      <c r="H9" s="238"/>
      <c r="I9" s="238"/>
    </row>
    <row r="10" spans="1:11" ht="48" customHeight="1" x14ac:dyDescent="0.3">
      <c r="B10" s="247" t="s">
        <v>401</v>
      </c>
      <c r="C10" s="238"/>
      <c r="D10" s="249" t="s">
        <v>402</v>
      </c>
      <c r="E10" s="238"/>
      <c r="F10" s="237" t="s">
        <v>403</v>
      </c>
      <c r="G10" s="238"/>
      <c r="H10" s="238"/>
      <c r="I10" s="238"/>
    </row>
    <row r="11" spans="1:11" ht="48" customHeight="1" x14ac:dyDescent="0.3">
      <c r="B11" s="251" t="s">
        <v>404</v>
      </c>
      <c r="C11" s="238"/>
      <c r="D11" s="249" t="s">
        <v>405</v>
      </c>
      <c r="E11" s="238"/>
      <c r="F11" s="237" t="s">
        <v>406</v>
      </c>
      <c r="G11" s="238"/>
      <c r="H11" s="238"/>
      <c r="I11" s="238"/>
    </row>
    <row r="14" spans="1:11" ht="15.75" customHeight="1" x14ac:dyDescent="0.3">
      <c r="B14" s="243" t="s">
        <v>407</v>
      </c>
      <c r="C14" s="244"/>
      <c r="D14" s="244"/>
      <c r="E14" s="244"/>
      <c r="F14" s="244"/>
      <c r="G14" s="244"/>
      <c r="H14" s="244"/>
      <c r="I14" s="244"/>
    </row>
    <row r="15" spans="1:11" ht="48" customHeight="1" x14ac:dyDescent="0.3">
      <c r="B15" s="221" t="s">
        <v>408</v>
      </c>
      <c r="C15" s="169"/>
      <c r="D15" s="169"/>
      <c r="E15" s="169"/>
      <c r="F15" s="169"/>
      <c r="G15" s="169"/>
      <c r="H15" s="169"/>
      <c r="I15" s="169"/>
    </row>
    <row r="17" spans="2:11" ht="36" customHeight="1" x14ac:dyDescent="0.3">
      <c r="B17" s="8" t="s">
        <v>342</v>
      </c>
      <c r="C17" s="8" t="s">
        <v>105</v>
      </c>
      <c r="D17" s="8" t="s">
        <v>409</v>
      </c>
      <c r="E17" s="8" t="s">
        <v>410</v>
      </c>
      <c r="F17" s="8" t="s">
        <v>411</v>
      </c>
      <c r="G17" s="8" t="s">
        <v>378</v>
      </c>
      <c r="H17" s="8" t="s">
        <v>412</v>
      </c>
      <c r="I17" s="8" t="s">
        <v>413</v>
      </c>
      <c r="J17" s="40" t="s">
        <v>414</v>
      </c>
      <c r="K17" s="40" t="s">
        <v>415</v>
      </c>
    </row>
    <row r="18" spans="2:11" ht="31.5" customHeight="1" x14ac:dyDescent="0.3">
      <c r="B18" s="41">
        <f>IF(Scoring!E30&lt;&gt;"",Scoring!E31,"")</f>
        <v>5</v>
      </c>
      <c r="C18" s="42" t="str">
        <f>IF(Scoring!E9&lt;&gt;"—",Scoring!E9,"")</f>
        <v>Stock Market Guide</v>
      </c>
      <c r="D18" s="43">
        <f>IF(Scoring!E17&lt;&gt;"",Scoring!E17,"")</f>
        <v>3.25</v>
      </c>
      <c r="E18" s="43">
        <f>IF(Scoring!E26&lt;&gt;"",Scoring!E26,"")</f>
        <v>1.95</v>
      </c>
      <c r="F18" s="44">
        <f>IF(Scoring!E30&lt;&gt;"",Scoring!E30,"")</f>
        <v>2.6</v>
      </c>
      <c r="G18" s="45" t="str">
        <f>IFERROR(INDEX('Risk Assessment'!$E$20:$I$20,1,MATCH(Scoring!E9,'Risk Assessment'!$E$9:$I$9,0)),"—")</f>
        <v>🟡 Medium</v>
      </c>
      <c r="H18" s="45" t="str">
        <f>IFERROR(INDEX('Risk Assessment'!$E$21:$I$21,1,MATCH(Scoring!E9,'Risk Assessment'!$E$9:$I$9,0)),"—")</f>
        <v>Supervised Execution</v>
      </c>
      <c r="I18" s="41" t="str">
        <f t="shared" ref="I18:I27" si="0">IF(F18="","",IF(F18&gt;=4,IF(OR(G18="—",G18=""),"✅ Pursue",IF(ISNUMBER(SEARCH("Low",G18)),"✅ Pursue",IF(ISNUMBER(SEARCH("Medium",G18)),"✅ Pursue (Supervised)","⚠️ Investigate — mitigate risk"))),IF(F18&gt;=3,IF(OR(G18="—",G18=""),"🔍 Investigate",IF(ISNUMBER(SEARCH("High",G18)),"⏸️ Park — risk too high","🔍 Investigate")),IF(F18&gt;=2,"⏸️ Park","❌ Drop"))))</f>
        <v>⏸️ Park</v>
      </c>
      <c r="J18" s="44">
        <f t="shared" ref="J18:J27" si="1">IF(F18="","",IF(OR(G18="—",G18=""),F18,IF(ISNUMBER(SEARCH("Low",G18)),F18*1,IF(ISNUMBER(SEARCH("Medium",G18)),F18*0.85,F18*0.7))))</f>
        <v>2.21</v>
      </c>
      <c r="K18" s="46">
        <f t="shared" ref="K18:K27" si="2">IF(J18="","",RANK(J18,$J$18:$J$27,0))</f>
        <v>6</v>
      </c>
    </row>
    <row r="19" spans="2:11" ht="31.5" customHeight="1" x14ac:dyDescent="0.3">
      <c r="B19" s="47">
        <f>IF(Scoring!F30&lt;&gt;"",Scoring!F31,"")</f>
        <v>3</v>
      </c>
      <c r="C19" s="48" t="str">
        <f>IF(Scoring!F9&lt;&gt;"—",Scoring!F9,"")</f>
        <v>News Letter - Daily Quotes</v>
      </c>
      <c r="D19" s="49">
        <f>IF(Scoring!F17&lt;&gt;"",Scoring!F17,"")</f>
        <v>4.5999999999999996</v>
      </c>
      <c r="E19" s="49">
        <f>IF(Scoring!F26&lt;&gt;"",Scoring!F26,"")</f>
        <v>1</v>
      </c>
      <c r="F19" s="50">
        <f>IF(Scoring!F30&lt;&gt;"",Scoring!F30,"")</f>
        <v>2.8</v>
      </c>
      <c r="G19" s="51" t="str">
        <f>IFERROR(INDEX('Risk Assessment'!$E$20:$I$20,1,MATCH(Scoring!F9,'Risk Assessment'!$E$9:$I$9,0)),"—")</f>
        <v>🟢 Low</v>
      </c>
      <c r="H19" s="51" t="str">
        <f>IFERROR(INDEX('Risk Assessment'!$E$21:$I$21,1,MATCH(Scoring!F9,'Risk Assessment'!$E$9:$I$9,0)),"—")</f>
        <v>Full Autonomy</v>
      </c>
      <c r="I19" s="47" t="str">
        <f t="shared" si="0"/>
        <v>⏸️ Park</v>
      </c>
      <c r="J19" s="50">
        <f t="shared" si="1"/>
        <v>2.8</v>
      </c>
      <c r="K19" s="52">
        <f t="shared" si="2"/>
        <v>1</v>
      </c>
    </row>
    <row r="20" spans="2:11" ht="31.5" customHeight="1" x14ac:dyDescent="0.3">
      <c r="B20" s="41">
        <f>IF(Scoring!G30&lt;&gt;"",Scoring!G31,"")</f>
        <v>4</v>
      </c>
      <c r="C20" s="42" t="str">
        <f>IF(Scoring!G9&lt;&gt;"—",Scoring!G9,"")</f>
        <v>Real Estate Searcher</v>
      </c>
      <c r="D20" s="43">
        <f>IF(Scoring!G17&lt;&gt;"",Scoring!G17,"")</f>
        <v>3.3</v>
      </c>
      <c r="E20" s="43">
        <f>IF(Scoring!G26&lt;&gt;"",Scoring!G26,"")</f>
        <v>2.1</v>
      </c>
      <c r="F20" s="44">
        <f>IF(Scoring!G30&lt;&gt;"",Scoring!G30,"")</f>
        <v>2.7</v>
      </c>
      <c r="G20" s="45" t="str">
        <f>IFERROR(INDEX('Risk Assessment'!$E$20:$I$20,1,MATCH(Scoring!G9,'Risk Assessment'!$E$9:$I$9,0)),"—")</f>
        <v>🟡 Medium</v>
      </c>
      <c r="H20" s="45" t="str">
        <f>IFERROR(INDEX('Risk Assessment'!$E$21:$I$21,1,MATCH(Scoring!G9,'Risk Assessment'!$E$9:$I$9,0)),"—")</f>
        <v>Supervised Execution</v>
      </c>
      <c r="I20" s="41" t="str">
        <f t="shared" si="0"/>
        <v>⏸️ Park</v>
      </c>
      <c r="J20" s="44">
        <f t="shared" si="1"/>
        <v>2.2949999999999999</v>
      </c>
      <c r="K20" s="46">
        <f t="shared" si="2"/>
        <v>5</v>
      </c>
    </row>
    <row r="21" spans="2:11" ht="31.5" customHeight="1" x14ac:dyDescent="0.3">
      <c r="B21" s="47">
        <f>IF(Scoring!H30&lt;&gt;"",Scoring!H31,"")</f>
        <v>2</v>
      </c>
      <c r="C21" s="48" t="str">
        <f>IF(Scoring!H9&lt;&gt;"—",Scoring!H9,"")</f>
        <v>Real Estate Franchisee</v>
      </c>
      <c r="D21" s="49">
        <f>IF(Scoring!H17&lt;&gt;"",Scoring!H17,"")</f>
        <v>3.5999999999999996</v>
      </c>
      <c r="E21" s="49">
        <f>IF(Scoring!H26&lt;&gt;"",Scoring!H26,"")</f>
        <v>2.1</v>
      </c>
      <c r="F21" s="50">
        <f>IF(Scoring!H30&lt;&gt;"",Scoring!H30,"")</f>
        <v>2.8499999999999996</v>
      </c>
      <c r="G21" s="51" t="str">
        <f>IFERROR(INDEX('Risk Assessment'!$E$20:$I$20,1,MATCH(Scoring!H9,'Risk Assessment'!$E$9:$I$9,0)),"—")</f>
        <v>🟡 Medium</v>
      </c>
      <c r="H21" s="51" t="str">
        <f>IFERROR(INDEX('Risk Assessment'!$E$21:$I$21,1,MATCH(Scoring!H9,'Risk Assessment'!$E$9:$I$9,0)),"—")</f>
        <v>Supervised Execution</v>
      </c>
      <c r="I21" s="47" t="str">
        <f t="shared" si="0"/>
        <v>⏸️ Park</v>
      </c>
      <c r="J21" s="50">
        <f t="shared" si="1"/>
        <v>2.4224999999999994</v>
      </c>
      <c r="K21" s="52">
        <f t="shared" si="2"/>
        <v>4</v>
      </c>
    </row>
    <row r="22" spans="2:11" ht="31.5" customHeight="1" x14ac:dyDescent="0.3">
      <c r="B22" s="41">
        <f>IF(Scoring!I30&lt;&gt;"",Scoring!I31,"")</f>
        <v>6</v>
      </c>
      <c r="C22" s="42" t="str">
        <f>IF(Scoring!I9&lt;&gt;"—",Scoring!I9,"")</f>
        <v>Personal Calendar Aid</v>
      </c>
      <c r="D22" s="43">
        <f>IF(Scoring!I17&lt;&gt;"",Scoring!I17,"")</f>
        <v>3.0999999999999996</v>
      </c>
      <c r="E22" s="43">
        <f>IF(Scoring!I26&lt;&gt;"",Scoring!I26,"")</f>
        <v>1.95</v>
      </c>
      <c r="F22" s="44">
        <f>IF(Scoring!I30&lt;&gt;"",Scoring!I30,"")</f>
        <v>2.5249999999999999</v>
      </c>
      <c r="G22" s="45" t="str">
        <f>IFERROR(INDEX('Risk Assessment'!$E$20:$I$20,1,MATCH(Scoring!I9,'Risk Assessment'!$E$9:$I$9,0)),"—")</f>
        <v>—</v>
      </c>
      <c r="H22" s="45" t="str">
        <f>IFERROR(INDEX('Risk Assessment'!$E$21:$I$21,1,MATCH(Scoring!I9,'Risk Assessment'!$E$9:$I$9,0)),"—")</f>
        <v>—</v>
      </c>
      <c r="I22" s="41" t="str">
        <f t="shared" si="0"/>
        <v>⏸️ Park</v>
      </c>
      <c r="J22" s="44">
        <f t="shared" si="1"/>
        <v>2.5249999999999999</v>
      </c>
      <c r="K22" s="46">
        <f t="shared" si="2"/>
        <v>3</v>
      </c>
    </row>
    <row r="23" spans="2:11" ht="31.5" customHeight="1" x14ac:dyDescent="0.3">
      <c r="B23" s="47">
        <f>IF(Scoring!J30&lt;&gt;"",Scoring!J31,"")</f>
        <v>1</v>
      </c>
      <c r="C23" s="48" t="str">
        <f>IF(Scoring!J9&lt;&gt;"—",Scoring!J9,"")</f>
        <v>Travel Agent</v>
      </c>
      <c r="D23" s="49">
        <f>IF(Scoring!J17&lt;&gt;"",Scoring!J17,"")</f>
        <v>3.75</v>
      </c>
      <c r="E23" s="49">
        <f>IF(Scoring!J26&lt;&gt;"",Scoring!J26,"")</f>
        <v>2.35</v>
      </c>
      <c r="F23" s="50">
        <f>IF(Scoring!J30&lt;&gt;"",Scoring!J30,"")</f>
        <v>3.05</v>
      </c>
      <c r="G23" s="53" t="str">
        <f>IFERROR(INDEX('Risk Assessment'!$E$20:$I$20,1,MATCH(Scoring!J9,'Risk Assessment'!$E$9:$I$9,0)),"—")</f>
        <v>🟡 Medium</v>
      </c>
      <c r="H23" s="53" t="str">
        <f>IFERROR(INDEX('Risk Assessment'!$E$21:$I$21,1,MATCH(Scoring!J9,'Risk Assessment'!$E$9:$I$9,0)),"—")</f>
        <v>Supervised Execution</v>
      </c>
      <c r="I23" s="47" t="str">
        <f t="shared" si="0"/>
        <v>🔍 Investigate</v>
      </c>
      <c r="J23" s="50">
        <f t="shared" si="1"/>
        <v>2.5924999999999998</v>
      </c>
      <c r="K23" s="52">
        <f t="shared" si="2"/>
        <v>2</v>
      </c>
    </row>
    <row r="24" spans="2:11" ht="31.5" customHeight="1" x14ac:dyDescent="0.3">
      <c r="B24" s="41" t="str">
        <f>IF(Scoring!K30&lt;&gt;"",Scoring!K31,"")</f>
        <v/>
      </c>
      <c r="C24" s="42" t="str">
        <f>IF(Scoring!K9&lt;&gt;"—",Scoring!K9,"")</f>
        <v/>
      </c>
      <c r="D24" s="43" t="str">
        <f>IF(Scoring!K17&lt;&gt;"",Scoring!K17,"")</f>
        <v/>
      </c>
      <c r="E24" s="43" t="str">
        <f>IF(Scoring!K26&lt;&gt;"",Scoring!K26,"")</f>
        <v/>
      </c>
      <c r="F24" s="44" t="str">
        <f>IF(Scoring!K30&lt;&gt;"",Scoring!K30,"")</f>
        <v/>
      </c>
      <c r="G24" s="54" t="str">
        <f>IFERROR(INDEX('Risk Assessment'!$E$20:$I$20,1,MATCH(Scoring!K9,'Risk Assessment'!$E$9:$I$9,0)),"—")</f>
        <v>—</v>
      </c>
      <c r="H24" s="54" t="str">
        <f>IFERROR(INDEX('Risk Assessment'!$E$21:$I$21,1,MATCH(Scoring!K9,'Risk Assessment'!$E$9:$I$9,0)),"—")</f>
        <v>—</v>
      </c>
      <c r="I24" s="41" t="str">
        <f t="shared" si="0"/>
        <v/>
      </c>
      <c r="J24" s="44" t="str">
        <f t="shared" si="1"/>
        <v/>
      </c>
      <c r="K24" s="46" t="str">
        <f t="shared" si="2"/>
        <v/>
      </c>
    </row>
    <row r="25" spans="2:11" ht="31.5" customHeight="1" x14ac:dyDescent="0.3">
      <c r="B25" s="47" t="str">
        <f>IF(Scoring!L30&lt;&gt;"",Scoring!L31,"")</f>
        <v/>
      </c>
      <c r="C25" s="48" t="str">
        <f>IF(Scoring!L9&lt;&gt;"—",Scoring!L9,"")</f>
        <v/>
      </c>
      <c r="D25" s="49" t="str">
        <f>IF(Scoring!L17&lt;&gt;"",Scoring!L17,"")</f>
        <v/>
      </c>
      <c r="E25" s="49" t="str">
        <f>IF(Scoring!L26&lt;&gt;"",Scoring!L26,"")</f>
        <v/>
      </c>
      <c r="F25" s="50" t="str">
        <f>IF(Scoring!L30&lt;&gt;"",Scoring!L30,"")</f>
        <v/>
      </c>
      <c r="G25" s="53" t="str">
        <f>IFERROR(INDEX('Risk Assessment'!$E$20:$I$20,1,MATCH(Scoring!L9,'Risk Assessment'!$E$9:$I$9,0)),"—")</f>
        <v>—</v>
      </c>
      <c r="H25" s="53" t="str">
        <f>IFERROR(INDEX('Risk Assessment'!$E$21:$I$21,1,MATCH(Scoring!L9,'Risk Assessment'!$E$9:$I$9,0)),"—")</f>
        <v>—</v>
      </c>
      <c r="I25" s="47" t="str">
        <f t="shared" si="0"/>
        <v/>
      </c>
      <c r="J25" s="50" t="str">
        <f t="shared" si="1"/>
        <v/>
      </c>
      <c r="K25" s="52" t="str">
        <f t="shared" si="2"/>
        <v/>
      </c>
    </row>
    <row r="26" spans="2:11" ht="31.5" customHeight="1" x14ac:dyDescent="0.3">
      <c r="B26" s="41" t="str">
        <f>IF(Scoring!M30&lt;&gt;"",Scoring!M31,"")</f>
        <v/>
      </c>
      <c r="C26" s="42" t="str">
        <f>IF(Scoring!M9&lt;&gt;"—",Scoring!M9,"")</f>
        <v/>
      </c>
      <c r="D26" s="43" t="str">
        <f>IF(Scoring!M17&lt;&gt;"",Scoring!M17,"")</f>
        <v/>
      </c>
      <c r="E26" s="43" t="str">
        <f>IF(Scoring!M26&lt;&gt;"",Scoring!M26,"")</f>
        <v/>
      </c>
      <c r="F26" s="44" t="str">
        <f>IF(Scoring!M30&lt;&gt;"",Scoring!M30,"")</f>
        <v/>
      </c>
      <c r="G26" s="54" t="str">
        <f>IFERROR(INDEX('Risk Assessment'!$E$20:$I$20,1,MATCH(Scoring!M9,'Risk Assessment'!$E$9:$I$9,0)),"—")</f>
        <v>—</v>
      </c>
      <c r="H26" s="54" t="str">
        <f>IFERROR(INDEX('Risk Assessment'!$E$21:$I$21,1,MATCH(Scoring!M9,'Risk Assessment'!$E$9:$I$9,0)),"—")</f>
        <v>—</v>
      </c>
      <c r="I26" s="41" t="str">
        <f t="shared" si="0"/>
        <v/>
      </c>
      <c r="J26" s="44" t="str">
        <f t="shared" si="1"/>
        <v/>
      </c>
      <c r="K26" s="46" t="str">
        <f t="shared" si="2"/>
        <v/>
      </c>
    </row>
    <row r="27" spans="2:11" ht="31.5" customHeight="1" x14ac:dyDescent="0.3">
      <c r="B27" s="47" t="str">
        <f>IF(Scoring!N30&lt;&gt;"",Scoring!N31,"")</f>
        <v/>
      </c>
      <c r="C27" s="48" t="str">
        <f>IF(Scoring!N9&lt;&gt;"—",Scoring!N9,"")</f>
        <v/>
      </c>
      <c r="D27" s="49" t="str">
        <f>IF(Scoring!N17&lt;&gt;"",Scoring!N17,"")</f>
        <v/>
      </c>
      <c r="E27" s="49" t="str">
        <f>IF(Scoring!N26&lt;&gt;"",Scoring!N26,"")</f>
        <v/>
      </c>
      <c r="F27" s="50" t="str">
        <f>IF(Scoring!N30&lt;&gt;"",Scoring!N30,"")</f>
        <v/>
      </c>
      <c r="G27" s="53" t="str">
        <f>IFERROR(INDEX('Risk Assessment'!$E$20:$I$20,1,MATCH(Scoring!N9,'Risk Assessment'!$E$9:$I$9,0)),"—")</f>
        <v>—</v>
      </c>
      <c r="H27" s="53" t="str">
        <f>IFERROR(INDEX('Risk Assessment'!$E$21:$I$21,1,MATCH(Scoring!N9,'Risk Assessment'!$E$9:$I$9,0)),"—")</f>
        <v>—</v>
      </c>
      <c r="I27" s="47" t="str">
        <f t="shared" si="0"/>
        <v/>
      </c>
      <c r="J27" s="50" t="str">
        <f t="shared" si="1"/>
        <v/>
      </c>
      <c r="K27" s="52" t="str">
        <f t="shared" si="2"/>
        <v/>
      </c>
    </row>
    <row r="29" spans="2:11" ht="218.4" customHeight="1" x14ac:dyDescent="0.3">
      <c r="B29" s="221" t="s">
        <v>416</v>
      </c>
      <c r="C29" s="169"/>
      <c r="D29" s="169"/>
      <c r="E29" s="169"/>
      <c r="F29" s="169"/>
      <c r="G29" s="169"/>
      <c r="H29" s="169"/>
      <c r="I29" s="169"/>
      <c r="J29" s="169"/>
      <c r="K29" s="169"/>
    </row>
  </sheetData>
  <mergeCells count="19">
    <mergeCell ref="B15:I15"/>
    <mergeCell ref="B6:I6"/>
    <mergeCell ref="F8:I8"/>
    <mergeCell ref="B29:K29"/>
    <mergeCell ref="B5:I5"/>
    <mergeCell ref="B2:I2"/>
    <mergeCell ref="F11:I11"/>
    <mergeCell ref="B14:I14"/>
    <mergeCell ref="B8:C8"/>
    <mergeCell ref="F10:I10"/>
    <mergeCell ref="B10:C10"/>
    <mergeCell ref="B9:C9"/>
    <mergeCell ref="D9:E9"/>
    <mergeCell ref="D8:E8"/>
    <mergeCell ref="D10:E10"/>
    <mergeCell ref="F9:I9"/>
    <mergeCell ref="B3:I3"/>
    <mergeCell ref="B11:C11"/>
    <mergeCell ref="D11:E1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
  <sheetViews>
    <sheetView zoomScaleNormal="100" workbookViewId="0"/>
  </sheetViews>
  <sheetFormatPr defaultColWidth="8.6640625" defaultRowHeight="14.4" x14ac:dyDescent="0.3"/>
  <sheetData>
    <row r="1" spans="1:17" ht="15" customHeight="1" x14ac:dyDescent="0.3">
      <c r="A1" s="55" t="s">
        <v>315</v>
      </c>
      <c r="B1" s="55" t="s">
        <v>317</v>
      </c>
      <c r="C1" s="55" t="s">
        <v>319</v>
      </c>
      <c r="D1" s="55" t="s">
        <v>321</v>
      </c>
      <c r="E1" s="55" t="s">
        <v>323</v>
      </c>
      <c r="F1" s="55" t="s">
        <v>328</v>
      </c>
      <c r="G1" s="55" t="s">
        <v>330</v>
      </c>
      <c r="H1" s="55" t="s">
        <v>332</v>
      </c>
      <c r="I1" s="55" t="s">
        <v>334</v>
      </c>
      <c r="J1" s="55" t="s">
        <v>336</v>
      </c>
      <c r="K1" s="55" t="s">
        <v>355</v>
      </c>
      <c r="L1" s="55" t="s">
        <v>358</v>
      </c>
      <c r="M1" s="55" t="s">
        <v>361</v>
      </c>
      <c r="N1" s="55" t="s">
        <v>364</v>
      </c>
      <c r="O1" s="55" t="s">
        <v>367</v>
      </c>
      <c r="P1" s="55" t="s">
        <v>370</v>
      </c>
      <c r="Q1" s="55" t="s">
        <v>373</v>
      </c>
    </row>
    <row r="2" spans="1:17" ht="15" customHeight="1" x14ac:dyDescent="0.3">
      <c r="A2" t="s">
        <v>417</v>
      </c>
      <c r="B2" t="s">
        <v>418</v>
      </c>
      <c r="C2" t="s">
        <v>419</v>
      </c>
      <c r="D2" t="s">
        <v>420</v>
      </c>
      <c r="E2" t="s">
        <v>421</v>
      </c>
      <c r="F2" t="s">
        <v>422</v>
      </c>
      <c r="G2" t="s">
        <v>423</v>
      </c>
      <c r="H2" t="s">
        <v>424</v>
      </c>
      <c r="I2" t="s">
        <v>425</v>
      </c>
      <c r="J2" t="s">
        <v>426</v>
      </c>
      <c r="K2" t="s">
        <v>427</v>
      </c>
      <c r="L2" t="s">
        <v>428</v>
      </c>
      <c r="M2" t="s">
        <v>429</v>
      </c>
      <c r="N2" t="s">
        <v>430</v>
      </c>
      <c r="O2" t="s">
        <v>431</v>
      </c>
      <c r="P2" t="s">
        <v>432</v>
      </c>
      <c r="Q2" t="s">
        <v>433</v>
      </c>
    </row>
    <row r="3" spans="1:17" ht="15" customHeight="1" x14ac:dyDescent="0.3">
      <c r="A3" t="s">
        <v>434</v>
      </c>
      <c r="B3" t="s">
        <v>435</v>
      </c>
      <c r="C3" t="s">
        <v>436</v>
      </c>
      <c r="D3" t="s">
        <v>437</v>
      </c>
      <c r="E3" t="s">
        <v>438</v>
      </c>
      <c r="F3" t="s">
        <v>439</v>
      </c>
      <c r="G3" t="s">
        <v>440</v>
      </c>
      <c r="H3" t="s">
        <v>441</v>
      </c>
      <c r="I3" t="s">
        <v>442</v>
      </c>
      <c r="J3" t="s">
        <v>443</v>
      </c>
      <c r="K3" t="s">
        <v>444</v>
      </c>
      <c r="L3" t="s">
        <v>445</v>
      </c>
      <c r="M3" t="s">
        <v>446</v>
      </c>
      <c r="N3" t="s">
        <v>447</v>
      </c>
      <c r="O3" t="s">
        <v>448</v>
      </c>
      <c r="P3" t="s">
        <v>449</v>
      </c>
      <c r="Q3" t="s">
        <v>450</v>
      </c>
    </row>
    <row r="4" spans="1:17" ht="15" customHeight="1" x14ac:dyDescent="0.3">
      <c r="A4" t="s">
        <v>451</v>
      </c>
      <c r="B4" t="s">
        <v>452</v>
      </c>
      <c r="C4" t="s">
        <v>453</v>
      </c>
      <c r="D4" t="s">
        <v>454</v>
      </c>
      <c r="E4" t="s">
        <v>455</v>
      </c>
      <c r="F4" t="s">
        <v>456</v>
      </c>
      <c r="G4" t="s">
        <v>457</v>
      </c>
      <c r="H4" t="s">
        <v>458</v>
      </c>
      <c r="I4" t="s">
        <v>459</v>
      </c>
      <c r="J4" t="s">
        <v>460</v>
      </c>
      <c r="K4" t="s">
        <v>461</v>
      </c>
      <c r="L4" t="s">
        <v>462</v>
      </c>
      <c r="M4" t="s">
        <v>463</v>
      </c>
      <c r="N4" t="s">
        <v>464</v>
      </c>
      <c r="O4" t="s">
        <v>465</v>
      </c>
      <c r="P4" t="s">
        <v>466</v>
      </c>
      <c r="Q4" t="s">
        <v>467</v>
      </c>
    </row>
    <row r="5" spans="1:17" ht="15" customHeight="1" x14ac:dyDescent="0.3">
      <c r="A5" t="s">
        <v>468</v>
      </c>
      <c r="B5" t="s">
        <v>469</v>
      </c>
      <c r="C5" t="s">
        <v>470</v>
      </c>
      <c r="D5" t="s">
        <v>471</v>
      </c>
      <c r="E5" t="s">
        <v>472</v>
      </c>
      <c r="F5" t="s">
        <v>473</v>
      </c>
      <c r="G5" t="s">
        <v>474</v>
      </c>
      <c r="H5" t="s">
        <v>475</v>
      </c>
      <c r="I5" t="s">
        <v>476</v>
      </c>
      <c r="J5" t="s">
        <v>477</v>
      </c>
      <c r="K5" t="s">
        <v>478</v>
      </c>
      <c r="L5" t="s">
        <v>479</v>
      </c>
      <c r="M5" t="s">
        <v>480</v>
      </c>
      <c r="N5" t="s">
        <v>481</v>
      </c>
      <c r="O5" t="s">
        <v>482</v>
      </c>
      <c r="P5" t="s">
        <v>483</v>
      </c>
      <c r="Q5" t="s">
        <v>484</v>
      </c>
    </row>
    <row r="6" spans="1:17" ht="15" customHeight="1" x14ac:dyDescent="0.3">
      <c r="A6" t="s">
        <v>485</v>
      </c>
      <c r="B6" t="s">
        <v>486</v>
      </c>
      <c r="C6" t="s">
        <v>487</v>
      </c>
      <c r="D6" t="s">
        <v>488</v>
      </c>
      <c r="E6" t="s">
        <v>489</v>
      </c>
      <c r="F6" t="s">
        <v>490</v>
      </c>
      <c r="G6" t="s">
        <v>491</v>
      </c>
      <c r="H6" t="s">
        <v>492</v>
      </c>
      <c r="I6" t="s">
        <v>493</v>
      </c>
      <c r="J6" t="s">
        <v>494</v>
      </c>
      <c r="K6" t="s">
        <v>495</v>
      </c>
      <c r="L6" t="s">
        <v>496</v>
      </c>
      <c r="M6" t="s">
        <v>497</v>
      </c>
      <c r="N6" t="s">
        <v>498</v>
      </c>
      <c r="O6" t="s">
        <v>499</v>
      </c>
      <c r="P6" t="s">
        <v>500</v>
      </c>
      <c r="Q6" t="s">
        <v>501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59669"/>
  </sheetPr>
  <dimension ref="A1:E59"/>
  <sheetViews>
    <sheetView tabSelected="1" topLeftCell="A26" zoomScaleNormal="100" workbookViewId="0">
      <selection activeCell="B33" sqref="B33:E33"/>
    </sheetView>
  </sheetViews>
  <sheetFormatPr defaultColWidth="8.6640625" defaultRowHeight="14.4" x14ac:dyDescent="0.3"/>
  <cols>
    <col min="1" max="1" width="2" customWidth="1"/>
    <col min="2" max="2" width="24" customWidth="1"/>
    <col min="3" max="3" width="32" customWidth="1"/>
    <col min="4" max="4" width="39.21875" customWidth="1"/>
    <col min="5" max="5" width="66.44140625" customWidth="1"/>
    <col min="6" max="6" width="33.77734375" customWidth="1"/>
  </cols>
  <sheetData>
    <row r="1" spans="1:5" ht="15" customHeight="1" x14ac:dyDescent="0.3">
      <c r="A1" s="1"/>
      <c r="B1" s="1"/>
      <c r="C1" s="1"/>
      <c r="D1" s="1"/>
      <c r="E1" s="1"/>
    </row>
    <row r="2" spans="1:5" ht="42" customHeight="1" x14ac:dyDescent="0.3">
      <c r="A2" s="77"/>
      <c r="B2" s="252" t="s">
        <v>502</v>
      </c>
      <c r="C2" s="191"/>
      <c r="D2" s="191"/>
      <c r="E2" s="191"/>
    </row>
    <row r="3" spans="1:5" ht="15.6" customHeight="1" x14ac:dyDescent="0.3">
      <c r="A3" s="1"/>
      <c r="B3" s="260" t="s">
        <v>503</v>
      </c>
      <c r="C3" s="169"/>
      <c r="D3" s="169"/>
      <c r="E3" s="169"/>
    </row>
    <row r="5" spans="1:5" ht="46.8" customHeight="1" x14ac:dyDescent="0.3">
      <c r="B5" s="253" t="s">
        <v>504</v>
      </c>
      <c r="C5" s="169"/>
      <c r="D5" s="169"/>
      <c r="E5" s="169"/>
    </row>
    <row r="7" spans="1:5" ht="24" customHeight="1" x14ac:dyDescent="0.3">
      <c r="B7" s="121" t="s">
        <v>505</v>
      </c>
      <c r="C7" s="2"/>
      <c r="D7" s="2"/>
    </row>
    <row r="9" spans="1:5" ht="90" customHeight="1" x14ac:dyDescent="0.3">
      <c r="B9" s="56" t="s">
        <v>105</v>
      </c>
      <c r="C9" s="57" t="str">
        <f>IFERROR(INDEX('Prioritization Matrix'!$C$18:$C$27,MATCH(2,'Prioritization Matrix'!$K$18:$K$27,0)),"Enter name here")</f>
        <v>Travel Agent</v>
      </c>
      <c r="D9" s="5" t="s">
        <v>506</v>
      </c>
      <c r="E9" s="4" t="s">
        <v>507</v>
      </c>
    </row>
    <row r="10" spans="1:5" ht="60" customHeight="1" x14ac:dyDescent="0.3">
      <c r="B10" s="56" t="s">
        <v>508</v>
      </c>
      <c r="C10" s="58" t="s">
        <v>659</v>
      </c>
      <c r="D10" s="5" t="s">
        <v>509</v>
      </c>
      <c r="E10" s="4" t="s">
        <v>510</v>
      </c>
    </row>
    <row r="11" spans="1:5" ht="54.75" customHeight="1" x14ac:dyDescent="0.3">
      <c r="B11" s="56" t="s">
        <v>106</v>
      </c>
      <c r="C11" s="261" t="s">
        <v>660</v>
      </c>
      <c r="D11" s="5" t="s">
        <v>511</v>
      </c>
      <c r="E11" s="4" t="s">
        <v>512</v>
      </c>
    </row>
    <row r="12" spans="1:5" ht="45" customHeight="1" x14ac:dyDescent="0.3">
      <c r="B12" s="56" t="s">
        <v>513</v>
      </c>
      <c r="C12" s="261" t="s">
        <v>661</v>
      </c>
      <c r="D12" s="58" t="s">
        <v>662</v>
      </c>
      <c r="E12" s="4" t="s">
        <v>514</v>
      </c>
    </row>
    <row r="13" spans="1:5" ht="54.75" customHeight="1" x14ac:dyDescent="0.3">
      <c r="B13" s="56" t="s">
        <v>515</v>
      </c>
      <c r="C13" s="261" t="s">
        <v>663</v>
      </c>
      <c r="D13" s="5" t="s">
        <v>516</v>
      </c>
      <c r="E13" s="4" t="s">
        <v>517</v>
      </c>
    </row>
    <row r="14" spans="1:5" ht="60" customHeight="1" x14ac:dyDescent="0.3">
      <c r="B14" s="56" t="s">
        <v>518</v>
      </c>
      <c r="C14" s="58">
        <v>5</v>
      </c>
      <c r="D14" s="5" t="s">
        <v>519</v>
      </c>
      <c r="E14" s="4" t="s">
        <v>520</v>
      </c>
    </row>
    <row r="15" spans="1:5" ht="75" customHeight="1" x14ac:dyDescent="0.3">
      <c r="B15" s="56" t="s">
        <v>521</v>
      </c>
      <c r="C15" s="59">
        <v>50</v>
      </c>
      <c r="D15" s="5" t="s">
        <v>522</v>
      </c>
      <c r="E15" s="4" t="s">
        <v>523</v>
      </c>
    </row>
    <row r="16" spans="1:5" ht="30" customHeight="1" x14ac:dyDescent="0.3">
      <c r="B16" s="56" t="s">
        <v>524</v>
      </c>
      <c r="C16" s="60">
        <f>IF(OR(C14="",C15=""),"Enter hours and cost above",C14*C15*52)</f>
        <v>13000</v>
      </c>
      <c r="D16" s="5" t="s">
        <v>525</v>
      </c>
      <c r="E16" s="4" t="s">
        <v>526</v>
      </c>
    </row>
    <row r="17" spans="2:5" ht="45" customHeight="1" x14ac:dyDescent="0.3">
      <c r="B17" s="56" t="s">
        <v>527</v>
      </c>
      <c r="C17" s="58">
        <v>3</v>
      </c>
      <c r="D17" s="5" t="s">
        <v>528</v>
      </c>
      <c r="E17" s="4" t="s">
        <v>529</v>
      </c>
    </row>
    <row r="18" spans="2:5" ht="60" customHeight="1" x14ac:dyDescent="0.3">
      <c r="B18" s="56" t="s">
        <v>530</v>
      </c>
      <c r="C18" s="59">
        <v>25</v>
      </c>
      <c r="D18" s="5" t="s">
        <v>531</v>
      </c>
      <c r="E18" s="4" t="s">
        <v>532</v>
      </c>
    </row>
    <row r="19" spans="2:5" ht="30" customHeight="1" x14ac:dyDescent="0.3">
      <c r="B19" s="56" t="s">
        <v>533</v>
      </c>
      <c r="C19" s="60">
        <f>IF(OR(C17="",C17="N/A",C18="",C18="N/A"),0,C14*52*(C17/100)*C18)</f>
        <v>195</v>
      </c>
      <c r="D19" s="5" t="s">
        <v>534</v>
      </c>
      <c r="E19" s="4" t="s">
        <v>535</v>
      </c>
    </row>
    <row r="20" spans="2:5" ht="30" customHeight="1" x14ac:dyDescent="0.3">
      <c r="B20" s="61" t="s">
        <v>536</v>
      </c>
      <c r="C20" s="60">
        <f>IF(C16="Enter hours and cost above","—",C16+C19)</f>
        <v>13195</v>
      </c>
      <c r="D20" s="5" t="s">
        <v>537</v>
      </c>
      <c r="E20" s="4" t="s">
        <v>538</v>
      </c>
    </row>
    <row r="22" spans="2:5" ht="60" customHeight="1" x14ac:dyDescent="0.3">
      <c r="B22" s="121" t="s">
        <v>539</v>
      </c>
      <c r="C22" s="2"/>
      <c r="D22" s="2"/>
    </row>
    <row r="23" spans="2:5" ht="31.5" customHeight="1" x14ac:dyDescent="0.3"/>
    <row r="24" spans="2:5" ht="60" customHeight="1" x14ac:dyDescent="0.3">
      <c r="B24" s="56" t="s">
        <v>540</v>
      </c>
      <c r="C24" s="261" t="s">
        <v>664</v>
      </c>
      <c r="D24" s="5" t="s">
        <v>541</v>
      </c>
      <c r="E24" s="4" t="s">
        <v>542</v>
      </c>
    </row>
    <row r="25" spans="2:5" ht="60" customHeight="1" x14ac:dyDescent="0.3">
      <c r="B25" s="56" t="s">
        <v>543</v>
      </c>
      <c r="C25" s="58" t="s">
        <v>665</v>
      </c>
      <c r="D25" s="5" t="s">
        <v>544</v>
      </c>
      <c r="E25" s="4" t="s">
        <v>545</v>
      </c>
    </row>
    <row r="26" spans="2:5" ht="60" customHeight="1" x14ac:dyDescent="0.3">
      <c r="B26" s="56" t="s">
        <v>546</v>
      </c>
      <c r="C26" s="58"/>
      <c r="D26" s="5" t="s">
        <v>547</v>
      </c>
      <c r="E26" s="4" t="s">
        <v>548</v>
      </c>
    </row>
    <row r="27" spans="2:5" ht="60" customHeight="1" x14ac:dyDescent="0.3">
      <c r="B27" s="56" t="s">
        <v>549</v>
      </c>
      <c r="C27" s="57" t="str">
        <f>IFERROR(INDEX('Risk Assessment'!$E$21:$I$21,1,MATCH(C9,'Risk Assessment'!$E$9:$I$9,0)),"Score Risk Assessment first")</f>
        <v>Supervised Execution</v>
      </c>
      <c r="D27" s="5" t="s">
        <v>550</v>
      </c>
      <c r="E27" s="4" t="s">
        <v>551</v>
      </c>
    </row>
    <row r="28" spans="2:5" ht="49.5" customHeight="1" x14ac:dyDescent="0.3">
      <c r="B28" s="56" t="s">
        <v>552</v>
      </c>
      <c r="C28" s="58"/>
      <c r="D28" s="5" t="s">
        <v>553</v>
      </c>
      <c r="E28" s="4" t="s">
        <v>554</v>
      </c>
    </row>
    <row r="29" spans="2:5" ht="60" customHeight="1" x14ac:dyDescent="0.3">
      <c r="B29" s="56" t="s">
        <v>555</v>
      </c>
      <c r="C29" s="58"/>
      <c r="D29" s="5" t="s">
        <v>556</v>
      </c>
      <c r="E29" s="4" t="s">
        <v>557</v>
      </c>
    </row>
    <row r="30" spans="2:5" ht="45" customHeight="1" x14ac:dyDescent="0.3">
      <c r="B30" s="56" t="s">
        <v>558</v>
      </c>
      <c r="C30" s="58"/>
      <c r="D30" s="5" t="s">
        <v>559</v>
      </c>
      <c r="E30" s="4" t="s">
        <v>560</v>
      </c>
    </row>
    <row r="31" spans="2:5" ht="34.5" customHeight="1" x14ac:dyDescent="0.3"/>
    <row r="32" spans="2:5" ht="24" customHeight="1" x14ac:dyDescent="0.3">
      <c r="B32" s="258" t="s">
        <v>561</v>
      </c>
      <c r="C32" s="169"/>
      <c r="D32" s="169"/>
      <c r="E32" s="169"/>
    </row>
    <row r="33" spans="2:5" ht="90" customHeight="1" x14ac:dyDescent="0.3">
      <c r="B33" s="259" t="s">
        <v>562</v>
      </c>
      <c r="C33" s="169"/>
      <c r="D33" s="169"/>
      <c r="E33" s="169"/>
    </row>
    <row r="34" spans="2:5" ht="31.5" customHeight="1" x14ac:dyDescent="0.3"/>
    <row r="35" spans="2:5" ht="30" customHeight="1" x14ac:dyDescent="0.3">
      <c r="B35" s="56" t="s">
        <v>563</v>
      </c>
      <c r="C35" s="60">
        <f>IF(C20="—","—",C20)</f>
        <v>13195</v>
      </c>
      <c r="D35" s="5" t="s">
        <v>564</v>
      </c>
      <c r="E35" s="4" t="s">
        <v>565</v>
      </c>
    </row>
    <row r="36" spans="2:5" ht="60" customHeight="1" x14ac:dyDescent="0.3">
      <c r="B36" s="56" t="s">
        <v>566</v>
      </c>
      <c r="C36" s="62"/>
      <c r="D36" s="5" t="s">
        <v>567</v>
      </c>
      <c r="E36" s="4" t="s">
        <v>568</v>
      </c>
    </row>
    <row r="37" spans="2:5" ht="30" customHeight="1" x14ac:dyDescent="0.3">
      <c r="B37" s="56" t="s">
        <v>569</v>
      </c>
      <c r="C37" s="60" t="str">
        <f>IF(OR(C35="—",C36=""),"—",C35*(C36/100))</f>
        <v>—</v>
      </c>
      <c r="D37" s="5" t="s">
        <v>570</v>
      </c>
      <c r="E37" s="4" t="s">
        <v>571</v>
      </c>
    </row>
    <row r="38" spans="2:5" ht="60" customHeight="1" x14ac:dyDescent="0.3">
      <c r="B38" s="56" t="s">
        <v>572</v>
      </c>
      <c r="C38" s="59"/>
      <c r="D38" s="5" t="s">
        <v>573</v>
      </c>
      <c r="E38" s="4" t="s">
        <v>574</v>
      </c>
    </row>
    <row r="39" spans="2:5" ht="45" customHeight="1" x14ac:dyDescent="0.3">
      <c r="B39" s="56" t="s">
        <v>575</v>
      </c>
      <c r="C39" s="59"/>
      <c r="D39" s="5" t="s">
        <v>576</v>
      </c>
      <c r="E39" s="4" t="s">
        <v>577</v>
      </c>
    </row>
    <row r="40" spans="2:5" ht="30" customHeight="1" x14ac:dyDescent="0.3">
      <c r="B40" s="56" t="s">
        <v>578</v>
      </c>
      <c r="C40" s="60" t="str">
        <f>IF(OR(C37="—",C39=""),"—",C37-C39)</f>
        <v>—</v>
      </c>
      <c r="D40" s="5" t="s">
        <v>579</v>
      </c>
      <c r="E40" s="4" t="s">
        <v>580</v>
      </c>
    </row>
    <row r="41" spans="2:5" ht="30" customHeight="1" x14ac:dyDescent="0.3">
      <c r="B41" s="56" t="s">
        <v>581</v>
      </c>
      <c r="C41" s="57" t="str">
        <f>IF(OR(C40="—",C40&lt;=0,C38=""),"—",ROUND(C38/(C40/12),1)&amp;" months")</f>
        <v>—</v>
      </c>
      <c r="D41" s="5" t="s">
        <v>582</v>
      </c>
      <c r="E41" s="4" t="s">
        <v>583</v>
      </c>
    </row>
    <row r="42" spans="2:5" ht="30" customHeight="1" x14ac:dyDescent="0.3">
      <c r="B42" s="56" t="s">
        <v>584</v>
      </c>
      <c r="C42" s="57" t="str">
        <f>IF(OR(C40="—",C38="",C39=""),"—",ROUND(C40/(C38+C39),1)&amp;"x")</f>
        <v>—</v>
      </c>
      <c r="D42" s="5" t="s">
        <v>585</v>
      </c>
      <c r="E42" s="4" t="s">
        <v>586</v>
      </c>
    </row>
    <row r="43" spans="2:5" ht="75" customHeight="1" x14ac:dyDescent="0.3">
      <c r="B43" s="3" t="s">
        <v>587</v>
      </c>
      <c r="C43" s="254" t="s">
        <v>588</v>
      </c>
      <c r="D43" s="169"/>
      <c r="E43" s="169"/>
    </row>
    <row r="45" spans="2:5" ht="36" customHeight="1" x14ac:dyDescent="0.3">
      <c r="B45" s="121" t="s">
        <v>589</v>
      </c>
      <c r="C45" s="2"/>
      <c r="D45" s="2"/>
    </row>
    <row r="46" spans="2:5" ht="69.75" customHeight="1" x14ac:dyDescent="0.3"/>
    <row r="47" spans="2:5" ht="49.5" customHeight="1" x14ac:dyDescent="0.3">
      <c r="B47" s="63" t="s">
        <v>590</v>
      </c>
      <c r="C47" s="58"/>
      <c r="D47" s="5" t="s">
        <v>591</v>
      </c>
      <c r="E47" s="4" t="s">
        <v>592</v>
      </c>
    </row>
    <row r="48" spans="2:5" ht="69.75" customHeight="1" x14ac:dyDescent="0.3">
      <c r="B48" s="56" t="s">
        <v>593</v>
      </c>
      <c r="C48" s="58"/>
      <c r="D48" s="5" t="s">
        <v>594</v>
      </c>
      <c r="E48" s="4" t="s">
        <v>595</v>
      </c>
    </row>
    <row r="49" spans="2:5" ht="49.5" customHeight="1" x14ac:dyDescent="0.3">
      <c r="B49" s="56" t="s">
        <v>596</v>
      </c>
      <c r="C49" s="58"/>
      <c r="D49" s="5" t="s">
        <v>597</v>
      </c>
      <c r="E49" s="4" t="s">
        <v>598</v>
      </c>
    </row>
    <row r="51" spans="2:5" ht="30" customHeight="1" thickBot="1" x14ac:dyDescent="0.35">
      <c r="B51" s="257" t="s">
        <v>599</v>
      </c>
      <c r="C51" s="244"/>
      <c r="D51" s="244"/>
    </row>
    <row r="52" spans="2:5" ht="27.75" customHeight="1" x14ac:dyDescent="0.3"/>
    <row r="53" spans="2:5" ht="30" customHeight="1" x14ac:dyDescent="0.3">
      <c r="B53" s="56" t="s">
        <v>600</v>
      </c>
      <c r="C53" s="64">
        <f>IFERROR(INDEX(Scoring!$E$30:$N$30,1,MATCH(C9,Scoring!$E$9:$N$9,0)),"—")</f>
        <v>3.05</v>
      </c>
    </row>
    <row r="54" spans="2:5" ht="30" customHeight="1" x14ac:dyDescent="0.3">
      <c r="B54" s="56" t="s">
        <v>601</v>
      </c>
      <c r="C54" s="64">
        <f>IFERROR(INDEX(Scoring!$E$17:$N$17,1,MATCH(C9,Scoring!$E$9:$N$9,0)),"—")</f>
        <v>3.75</v>
      </c>
    </row>
    <row r="55" spans="2:5" ht="30" customHeight="1" x14ac:dyDescent="0.3">
      <c r="B55" s="56" t="s">
        <v>602</v>
      </c>
      <c r="C55" s="64">
        <f>IFERROR(INDEX(Scoring!$E$26:$N$26,1,MATCH(C9,Scoring!$E$9:$N$9,0)),"—")</f>
        <v>2.35</v>
      </c>
    </row>
    <row r="56" spans="2:5" ht="30" customHeight="1" x14ac:dyDescent="0.3">
      <c r="B56" s="56" t="s">
        <v>378</v>
      </c>
      <c r="C56" s="57" t="str">
        <f>IFERROR(INDEX('Risk Assessment'!$E$20:$I$20,1,MATCH(C9,'Risk Assessment'!$E$9:$I$9,0)),"—")</f>
        <v>🟡 Medium</v>
      </c>
    </row>
    <row r="57" spans="2:5" ht="30" customHeight="1" x14ac:dyDescent="0.3">
      <c r="B57" s="56" t="s">
        <v>603</v>
      </c>
      <c r="C57" s="57">
        <f>IFERROR(INDEX('Prioritization Matrix'!$K$18:$K$27,MATCH(C9,'Prioritization Matrix'!$C$18:$C$27,0)),"—")</f>
        <v>2</v>
      </c>
    </row>
    <row r="58" spans="2:5" ht="30" customHeight="1" x14ac:dyDescent="0.3">
      <c r="B58" s="56" t="s">
        <v>343</v>
      </c>
      <c r="C58" s="57" t="str">
        <f>IFERROR(INDEX('Prioritization Matrix'!$I$18:$I$27,MATCH(C9,'Prioritization Matrix'!$C$18:$C$27,0)),"—")</f>
        <v>🔍 Investigate</v>
      </c>
    </row>
    <row r="59" spans="2:5" ht="30" customHeight="1" x14ac:dyDescent="0.3">
      <c r="B59" s="65" t="s">
        <v>604</v>
      </c>
      <c r="C59" s="66" t="str">
        <f>IF(C42="—","Enter ROI data above",IF(VALUE(LEFT(C42,FIND("x",C42)-1))&gt;=5,"✅ Compelling ROI (5x+)",IF(VALUE(LEFT(C42,FIND("x",C42)-1))&gt;=3,"✅ Solid ROI (3x–5x)",IF(VALUE(LEFT(C42,FIND("x",C42)-1))&gt;=2,"⚠️ Marginal ROI (2x–3x) — needs strategic justification","❌ ROI below 2x — math does not support building this"))))</f>
        <v>Enter ROI data above</v>
      </c>
      <c r="D59" s="255" t="s">
        <v>605</v>
      </c>
      <c r="E59" s="256"/>
    </row>
  </sheetData>
  <mergeCells count="8">
    <mergeCell ref="B2:E2"/>
    <mergeCell ref="B5:E5"/>
    <mergeCell ref="C43:E43"/>
    <mergeCell ref="D59:E59"/>
    <mergeCell ref="B51:D51"/>
    <mergeCell ref="B32:E32"/>
    <mergeCell ref="B33:E33"/>
    <mergeCell ref="B3:E3"/>
  </mergeCells>
  <dataValidations count="13">
    <dataValidation type="list" allowBlank="1" sqref="C14" xr:uid="{00000000-0002-0000-0600-000000000000}">
      <formula1>"2,5,10,15,20,30,40,60,80,100"</formula1>
      <formula2>0</formula2>
    </dataValidation>
    <dataValidation type="list" allowBlank="1" sqref="C15" xr:uid="{00000000-0002-0000-0600-000001000000}">
      <formula1>"30,50,75,100,125,150,200,250"</formula1>
      <formula2>0</formula2>
    </dataValidation>
    <dataValidation type="list" allowBlank="1" sqref="C17" xr:uid="{00000000-0002-0000-0600-000002000000}">
      <formula1>"N/A,1,2,3,5,8,10,15,20,25"</formula1>
      <formula2>0</formula2>
    </dataValidation>
    <dataValidation type="list" allowBlank="1" sqref="C18" xr:uid="{00000000-0002-0000-0600-000003000000}">
      <formula1>"N/A,10,25,50,100,250,500,1000,5000,10000"</formula1>
      <formula2>0</formula2>
    </dataValidation>
    <dataValidation type="list" allowBlank="1" sqref="C36" xr:uid="{00000000-0002-0000-0600-000004000000}">
      <formula1>"30,40,50,60,70,80,90"</formula1>
      <formula2>0</formula2>
    </dataValidation>
    <dataValidation type="list" allowBlank="1" sqref="C38" xr:uid="{00000000-0002-0000-0600-000005000000}">
      <formula1>"1000,2500,5000,10000,25000,50000,75000,100000,250000"</formula1>
      <formula2>0</formula2>
    </dataValidation>
    <dataValidation type="list" allowBlank="1" sqref="C39" xr:uid="{00000000-0002-0000-0600-000006000000}">
      <formula1>"500,1200,2400,5000,10000,25000,50000,100000"</formula1>
      <formula2>0</formula2>
    </dataValidation>
    <dataValidation type="list" allowBlank="1" sqref="C10" xr:uid="{00000000-0002-0000-0600-000007000000}">
      <formula1>"P1 — Judgment Triage,P2 — Research &amp; Synthesis,P3 — Unstructured→Structured,P4 — Context-Aware Comms,P5 — Workflow Orchestration,P6 — Monitoring &amp; Alerting,P7 — Knowledge Q&amp;A,P8 — Repeated Analysis,P9 — Handoff Coordination,P10 — Compliance &amp; Evidence"</formula1>
      <formula2>0</formula2>
    </dataValidation>
    <dataValidation type="list" allowBlank="1" sqref="D12" xr:uid="{00000000-0002-0000-0600-000008000000}">
      <formula1>"Individual (1 person),Small team (2–10),Department (10–50),Cross-org (50–200),Organization-wide (200+)"</formula1>
      <formula2>0</formula2>
    </dataValidation>
    <dataValidation type="list" allowBlank="1" sqref="C25" xr:uid="{00000000-0002-0000-0600-000009000000}">
      <formula1>"LLM + Loop,LLM + Loop + Tools (MCP),LLM + Loop + Tools + Skills,LLM + Loop + Tools + Context + Memory,LLM + Loop + Tools + Skills + Memory + Guardrails,All 8 blocks"</formula1>
      <formula2>0</formula2>
    </dataValidation>
    <dataValidation type="list" allowBlank="1" sqref="C26" xr:uid="{00000000-0002-0000-0600-00000A000000}">
      <formula1>"Claude Code + MCP,Cursor + MCP,LangGraph + MCP,CrewAI + MCP,Lovable + MCP,Bolt.new + MCP,OpenClaw + MCP,Replit + MCP,Claude.ai + Perplexity + MCP,LangGraph + CrewAI + MCP,Custom stack"</formula1>
      <formula2>0</formula2>
    </dataValidation>
    <dataValidation type="list" allowBlank="1" sqref="C29" xr:uid="{00000000-0002-0000-0600-00000B000000}">
      <formula1>"Hallucination / accuracy,MCP integration failure,Context drift over time,Data privacy exposure,Regulatory non-compliance,User adoption resistance,API cost overrun,Scope creep"</formula1>
      <formula2>0</formula2>
    </dataValidation>
    <dataValidation type="list" allowBlank="1" sqref="C47" xr:uid="{00000000-0002-0000-0600-00000C000000}">
      <formula1>"✅ GO — Proceed to build,❌ NO-GO — Not viable now,🔄 REVISIT — Reassess in 3 months"</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405F-EFCC-4ED5-A0C9-D847962B8E22}">
  <dimension ref="E1:J1"/>
  <sheetViews>
    <sheetView workbookViewId="0">
      <selection activeCell="D2" sqref="D2"/>
    </sheetView>
  </sheetViews>
  <sheetFormatPr defaultRowHeight="14.4" x14ac:dyDescent="0.3"/>
  <sheetData>
    <row r="1" spans="5:10" ht="45.6" x14ac:dyDescent="0.3">
      <c r="E1" s="10" t="s">
        <v>611</v>
      </c>
      <c r="F1" s="10" t="s">
        <v>615</v>
      </c>
      <c r="G1" s="10" t="s">
        <v>613</v>
      </c>
      <c r="H1" s="10" t="s">
        <v>614</v>
      </c>
      <c r="I1" s="10" t="s">
        <v>612</v>
      </c>
      <c r="J1" s="10" t="s">
        <v>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Discovery</vt:lpstr>
      <vt:lpstr>Scoring</vt:lpstr>
      <vt:lpstr>Risk Assessment</vt:lpstr>
      <vt:lpstr>Prioritization Matrix</vt:lpstr>
      <vt:lpstr>Ref</vt:lpstr>
      <vt:lpstr>Selection Brief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use-case-prioritization-workbook</dc:title>
  <dc:subject>use-case-prioritization-workbook</dc:subject>
  <dc:creator>Vivek Acharya</dc:creator>
  <cp:keywords>use-case-prioritization-workbook</cp:keywords>
  <cp:lastModifiedBy>Praveen Javali</cp:lastModifiedBy>
  <cp:revision>0</cp:revision>
  <dcterms:created xsi:type="dcterms:W3CDTF">2026-03-19T13:38:00Z</dcterms:created>
  <dcterms:modified xsi:type="dcterms:W3CDTF">2026-03-27T01:53:58Z</dcterms:modified>
  <dc:language>en-US</dc:language>
</cp:coreProperties>
</file>